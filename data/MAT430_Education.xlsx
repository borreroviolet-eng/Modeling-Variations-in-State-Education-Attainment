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07fcd3016684d9/Violet/SNHU/MAT 430/"/>
    </mc:Choice>
  </mc:AlternateContent>
  <xr:revisionPtr revIDLastSave="219" documentId="13_ncr:1_{D2257B50-D9F5-492B-B8DA-3EDCD3D830F1}" xr6:coauthVersionLast="47" xr6:coauthVersionMax="47" xr10:uidLastSave="{B814F853-BD81-45C2-91D1-D2F0B7CB061F}"/>
  <bookViews>
    <workbookView xWindow="-120" yWindow="-120" windowWidth="29040" windowHeight="15720" firstSheet="1" activeTab="1" xr2:uid="{9C552AC3-8648-4EA3-A060-A16440ACDFE9}"/>
  </bookViews>
  <sheets>
    <sheet name="variable list" sheetId="4" r:id="rId1"/>
    <sheet name="variable list small" sheetId="12" r:id="rId2"/>
    <sheet name="all_data_no_pol" sheetId="5" r:id="rId3"/>
    <sheet name="all_data_sans_dc" sheetId="11" r:id="rId4"/>
    <sheet name="all_data_full_obs_only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1" l="1"/>
  <c r="AA2" i="11"/>
  <c r="S3" i="11"/>
  <c r="AA3" i="11"/>
  <c r="S4" i="11"/>
  <c r="AA4" i="11"/>
  <c r="AA5" i="11"/>
  <c r="S6" i="11"/>
  <c r="AA6" i="11"/>
  <c r="S7" i="11"/>
  <c r="AA7" i="11"/>
  <c r="S8" i="11"/>
  <c r="AA8" i="11"/>
  <c r="S9" i="11"/>
  <c r="AA9" i="11"/>
  <c r="S10" i="11"/>
  <c r="AA10" i="11"/>
  <c r="AA11" i="11"/>
  <c r="S12" i="11"/>
  <c r="AA12" i="11"/>
  <c r="S13" i="11"/>
  <c r="AA13" i="11"/>
  <c r="AA14" i="11"/>
  <c r="AA15" i="11"/>
  <c r="S16" i="11"/>
  <c r="AA16" i="11"/>
  <c r="S17" i="11"/>
  <c r="AA17" i="11"/>
  <c r="S18" i="11"/>
  <c r="AA18" i="11"/>
  <c r="S19" i="11"/>
  <c r="AA19" i="11"/>
  <c r="AA20" i="11"/>
  <c r="S21" i="11"/>
  <c r="AA21" i="11"/>
  <c r="S22" i="11"/>
  <c r="AA22" i="11"/>
  <c r="S23" i="11"/>
  <c r="AA23" i="11"/>
  <c r="S24" i="11"/>
  <c r="AA24" i="11"/>
  <c r="AA25" i="11"/>
  <c r="S26" i="11"/>
  <c r="AA26" i="11"/>
  <c r="S27" i="11"/>
  <c r="AA27" i="11"/>
  <c r="S28" i="11"/>
  <c r="AA28" i="11"/>
  <c r="AA29" i="11"/>
  <c r="S30" i="11"/>
  <c r="AA30" i="11"/>
  <c r="AA31" i="11"/>
  <c r="S32" i="11"/>
  <c r="AA32" i="11"/>
  <c r="S33" i="11"/>
  <c r="AA33" i="11"/>
  <c r="S34" i="11"/>
  <c r="AA34" i="11"/>
  <c r="S35" i="11"/>
  <c r="AA35" i="11"/>
  <c r="S36" i="11"/>
  <c r="AA36" i="11"/>
  <c r="S37" i="11"/>
  <c r="AA37" i="11"/>
  <c r="S38" i="11"/>
  <c r="AA38" i="11"/>
  <c r="S39" i="11"/>
  <c r="AA39" i="11"/>
  <c r="S40" i="11"/>
  <c r="AA40" i="11"/>
  <c r="AA41" i="11"/>
  <c r="S42" i="11"/>
  <c r="AA42" i="11"/>
  <c r="AA43" i="11"/>
  <c r="S44" i="11"/>
  <c r="AA44" i="11"/>
  <c r="S45" i="11"/>
  <c r="AA45" i="11"/>
  <c r="AA46" i="11"/>
  <c r="S47" i="11"/>
  <c r="AA47" i="11"/>
  <c r="S48" i="11"/>
  <c r="AA48" i="11"/>
  <c r="AA49" i="11"/>
  <c r="S50" i="11"/>
  <c r="AA50" i="11"/>
  <c r="S51" i="11"/>
  <c r="AA51" i="11"/>
  <c r="AA47" i="10"/>
  <c r="S47" i="10"/>
  <c r="AA46" i="10"/>
  <c r="S46" i="10"/>
  <c r="AA45" i="10"/>
  <c r="AA44" i="10"/>
  <c r="S44" i="10"/>
  <c r="AA43" i="10"/>
  <c r="S43" i="10"/>
  <c r="AA42" i="10"/>
  <c r="AA41" i="10"/>
  <c r="S41" i="10"/>
  <c r="AA40" i="10"/>
  <c r="AA39" i="10"/>
  <c r="S39" i="10"/>
  <c r="AA38" i="10"/>
  <c r="AA37" i="10"/>
  <c r="S37" i="10"/>
  <c r="AA36" i="10"/>
  <c r="S36" i="10"/>
  <c r="AA35" i="10"/>
  <c r="S35" i="10"/>
  <c r="AA34" i="10"/>
  <c r="S34" i="10"/>
  <c r="AA33" i="10"/>
  <c r="S33" i="10"/>
  <c r="AA32" i="10"/>
  <c r="S32" i="10"/>
  <c r="AA31" i="10"/>
  <c r="S31" i="10"/>
  <c r="AA30" i="10"/>
  <c r="S30" i="10"/>
  <c r="AA29" i="10"/>
  <c r="AA28" i="10"/>
  <c r="S28" i="10"/>
  <c r="AA27" i="10"/>
  <c r="AA26" i="10"/>
  <c r="S26" i="10"/>
  <c r="AA25" i="10"/>
  <c r="S25" i="10"/>
  <c r="AA24" i="10"/>
  <c r="S24" i="10"/>
  <c r="AA23" i="10"/>
  <c r="AA22" i="10"/>
  <c r="S22" i="10"/>
  <c r="AA21" i="10"/>
  <c r="S21" i="10"/>
  <c r="AA20" i="10"/>
  <c r="S20" i="10"/>
  <c r="AA19" i="10"/>
  <c r="S19" i="10"/>
  <c r="AA18" i="10"/>
  <c r="AA17" i="10"/>
  <c r="S17" i="10"/>
  <c r="AA16" i="10"/>
  <c r="S16" i="10"/>
  <c r="AA15" i="10"/>
  <c r="S15" i="10"/>
  <c r="AA14" i="10"/>
  <c r="S14" i="10"/>
  <c r="AA13" i="10"/>
  <c r="S13" i="10"/>
  <c r="AA12" i="10"/>
  <c r="S12" i="10"/>
  <c r="AA11" i="10"/>
  <c r="AA10" i="10"/>
  <c r="S10" i="10"/>
  <c r="AA9" i="10"/>
  <c r="S9" i="10"/>
  <c r="AA8" i="10"/>
  <c r="S8" i="10"/>
  <c r="AA7" i="10"/>
  <c r="S7" i="10"/>
  <c r="AA6" i="10"/>
  <c r="S6" i="10"/>
  <c r="AA5" i="10"/>
  <c r="AA4" i="10"/>
  <c r="S4" i="10"/>
  <c r="AA3" i="10"/>
  <c r="S3" i="10"/>
  <c r="AA2" i="10"/>
  <c r="S2" i="10"/>
  <c r="R52" i="5"/>
  <c r="R51" i="5"/>
  <c r="R49" i="5"/>
  <c r="R48" i="5"/>
  <c r="R46" i="5"/>
  <c r="R45" i="5"/>
  <c r="R43" i="5"/>
  <c r="R41" i="5"/>
  <c r="R40" i="5"/>
  <c r="R39" i="5"/>
  <c r="R38" i="5"/>
  <c r="R37" i="5"/>
  <c r="R36" i="5"/>
  <c r="R35" i="5"/>
  <c r="R34" i="5"/>
  <c r="R33" i="5"/>
  <c r="R31" i="5"/>
  <c r="R29" i="5"/>
  <c r="R28" i="5"/>
  <c r="R27" i="5"/>
  <c r="R25" i="5"/>
  <c r="R24" i="5"/>
  <c r="R23" i="5"/>
  <c r="R22" i="5"/>
  <c r="R20" i="5"/>
  <c r="R19" i="5"/>
  <c r="R18" i="5"/>
  <c r="R17" i="5"/>
  <c r="R14" i="5"/>
  <c r="R13" i="5"/>
  <c r="R11" i="5"/>
  <c r="R9" i="5"/>
  <c r="R8" i="5"/>
  <c r="R7" i="5"/>
  <c r="R6" i="5"/>
  <c r="R4" i="5"/>
  <c r="R3" i="5"/>
  <c r="R2" i="5"/>
</calcChain>
</file>

<file path=xl/sharedStrings.xml><?xml version="1.0" encoding="utf-8"?>
<sst xmlns="http://schemas.openxmlformats.org/spreadsheetml/2006/main" count="449" uniqueCount="162">
  <si>
    <t>VAR NAME</t>
  </si>
  <si>
    <t>TYPE</t>
  </si>
  <si>
    <t>DESCRIPTION</t>
  </si>
  <si>
    <t>Possible Values</t>
  </si>
  <si>
    <t>Source</t>
  </si>
  <si>
    <t>Link</t>
  </si>
  <si>
    <t>loc</t>
  </si>
  <si>
    <t>fct</t>
  </si>
  <si>
    <t>Location name</t>
  </si>
  <si>
    <t>US States + D.C.</t>
  </si>
  <si>
    <t>per_hs</t>
  </si>
  <si>
    <t>dbl</t>
  </si>
  <si>
    <t>Percent of high school graduates by 25</t>
  </si>
  <si>
    <t>0 - 100</t>
  </si>
  <si>
    <t xml:space="preserve">US Census via World Population Review </t>
  </si>
  <si>
    <t xml:space="preserve"> https://worldpopulationreview.com/state-rankings/educational-attainment-by-state</t>
  </si>
  <si>
    <t>per_ba</t>
  </si>
  <si>
    <t>Percent of bachelors holders by 25</t>
  </si>
  <si>
    <t>read_avg</t>
  </si>
  <si>
    <t xml:space="preserve">Average score on NAEP 2022 Grade 8 Reading exam </t>
  </si>
  <si>
    <t>0 - 500</t>
  </si>
  <si>
    <t>NAEP via Nation's Report Card</t>
  </si>
  <si>
    <t>https://www.nationsreportcard.gov/ndecore/landing</t>
  </si>
  <si>
    <t>read_moe_navg</t>
  </si>
  <si>
    <t>Did state meet or exceed national average on NAEP READ</t>
  </si>
  <si>
    <t xml:space="preserve">0 - No  | 1 -Yes  </t>
  </si>
  <si>
    <t>read_per_basic</t>
  </si>
  <si>
    <t>Percent of students meeting a "basic" level or above on NAEP READ</t>
  </si>
  <si>
    <t>read_per_prof</t>
  </si>
  <si>
    <t>Percent of students meeting a "proficient" level or above on NAEP READ</t>
  </si>
  <si>
    <t>math_avg</t>
  </si>
  <si>
    <t>Average score on NAEP 2022 Grade 8 Math exam</t>
  </si>
  <si>
    <t>math_moe_navg</t>
  </si>
  <si>
    <t>Did state meet or exceed national average on NAEP MATH</t>
  </si>
  <si>
    <t>math_per_basic</t>
  </si>
  <si>
    <t>Percent of students meeting a "basic" level or above on NAEP MATH</t>
  </si>
  <si>
    <t>math_per_prof</t>
  </si>
  <si>
    <t>both_moe_navg</t>
  </si>
  <si>
    <t>Did state meet or exceed national average on BOTH NAEP exams</t>
  </si>
  <si>
    <t>percap_total</t>
  </si>
  <si>
    <t>State's total spending per capita</t>
  </si>
  <si>
    <t>7,000  - 26,000</t>
  </si>
  <si>
    <t>Tax Policy Center</t>
  </si>
  <si>
    <t>https://www.taxpolicycenter.org/statistics/state-and-local-general-expenditures-capita</t>
  </si>
  <si>
    <t>percap_prim_ed</t>
  </si>
  <si>
    <t>State's spending on primary education per capita</t>
  </si>
  <si>
    <t>1,000 - 5,000</t>
  </si>
  <si>
    <t>percap_higher_ed</t>
  </si>
  <si>
    <t>State's spending on higher education per capita (post K-12)</t>
  </si>
  <si>
    <t>250 - 2,000</t>
  </si>
  <si>
    <t>teacher_pay</t>
  </si>
  <si>
    <t>Teacher's pay on normalized scale where 1 represents national average</t>
  </si>
  <si>
    <t>0.8 - 1.3</t>
  </si>
  <si>
    <t xml:space="preserve">NCES EDGE </t>
  </si>
  <si>
    <t>https://nces.ed.gov/programs/edge/economic/teacherwage</t>
  </si>
  <si>
    <t>pup_teach_ratio</t>
  </si>
  <si>
    <t>Average pupil teacher ratio</t>
  </si>
  <si>
    <t>(10 - 23</t>
  </si>
  <si>
    <t xml:space="preserve">NCES ELSI </t>
  </si>
  <si>
    <t xml:space="preserve"> http://nces.ed.gov/ccd/elsi/</t>
  </si>
  <si>
    <t>fte_teacher_total</t>
  </si>
  <si>
    <t>Total number of full time equivalent teachers in 2021</t>
  </si>
  <si>
    <t>7,500 - 375,000</t>
  </si>
  <si>
    <t>min_hours_by8th</t>
  </si>
  <si>
    <t>Minimum number of instructional hours by 8th grade (assuming no churn)</t>
  </si>
  <si>
    <t>6,000 - 11,000</t>
  </si>
  <si>
    <t>NCES SEP</t>
  </si>
  <si>
    <t>https://nces.ed.gov/programs/statereform/1_eap.asp</t>
  </si>
  <si>
    <t>mand_attend_age</t>
  </si>
  <si>
    <t>State's compulsory attendance age</t>
  </si>
  <si>
    <t>ages 5-8</t>
  </si>
  <si>
    <t>dist_req_k_offered</t>
  </si>
  <si>
    <t xml:space="preserve">Whether a state requires districts offer kindergarten </t>
  </si>
  <si>
    <t>0 -No | 1 -Yes, half day | 2 Yes, full day</t>
  </si>
  <si>
    <t>k_attend_req</t>
  </si>
  <si>
    <t xml:space="preserve">Whether a state requires kindergerten attendance </t>
  </si>
  <si>
    <t>0 - Not Applicable | 1 - No | 2 - Yes</t>
  </si>
  <si>
    <t>knowledge_exam</t>
  </si>
  <si>
    <t>Whether a state requires a knowledge exam for first year certification</t>
  </si>
  <si>
    <t>0 - No exam | 1  - Basic Skills Only | 2 - Subject Knowledge Only | 3 - Both exams required</t>
  </si>
  <si>
    <t>https://nces.ed.gov/programs/statereform/7_sq.asp</t>
  </si>
  <si>
    <t>teaching_skill_exam</t>
  </si>
  <si>
    <t>Whether a state requires a teaching skill exam for first year certification</t>
  </si>
  <si>
    <t>0 - No exam | 1  - Teaching Skills Only | 2 - Performance Assessment Only | 3 - Both exams required</t>
  </si>
  <si>
    <t>dem_rep_ratio_16</t>
  </si>
  <si>
    <t>State’s ratio of total votes for democrats to total votes for republicans in 2016</t>
  </si>
  <si>
    <t>0.3 - 2.4</t>
  </si>
  <si>
    <t>FEC</t>
  </si>
  <si>
    <t>https://www.fec.gov/documents/1890/federalelections2016.xlsx</t>
  </si>
  <si>
    <t>dem_rep_ratio_20</t>
  </si>
  <si>
    <t>State’s ratio of total votes for democrats to total votes for republicans in 2020</t>
  </si>
  <si>
    <t>0.3 - 3.3</t>
  </si>
  <si>
    <t>https://www.fec.gov/documents/4228/federalelections2020.xlsx</t>
  </si>
  <si>
    <t>dtr_shift</t>
  </si>
  <si>
    <t>Shift in ratio of votes from 2016 to 2020</t>
  </si>
  <si>
    <t>( -1 - 2</t>
  </si>
  <si>
    <t>derived from above</t>
  </si>
  <si>
    <t>n/a</t>
  </si>
  <si>
    <t>percap_title1_funds</t>
  </si>
  <si>
    <t xml:space="preserve">State's per capita Title 1 funding </t>
  </si>
  <si>
    <t>0 - 5,000</t>
  </si>
  <si>
    <t>US Census vua Journalist Resource (.org)</t>
  </si>
  <si>
    <t>https://journalistsresource.org/economics/2020-census-title-i-maps/</t>
  </si>
  <si>
    <t>poverty_rate</t>
  </si>
  <si>
    <t>Percent  of state population living under the federal poverty line</t>
  </si>
  <si>
    <t xml:space="preserve">US Census </t>
  </si>
  <si>
    <t>https://www.census.gov/library/publications/2019/demo/p60-266.html</t>
  </si>
  <si>
    <t>Note: Sources grouped by color to indicate instances where multiple parameters were pulled from the same source.</t>
  </si>
  <si>
    <t>Did state meet or exceed national average on NAEP READ?</t>
  </si>
  <si>
    <t>Did state meet or exceed national average on NAEP MATH?</t>
  </si>
  <si>
    <t>Note: Sources grouped by color to indicate instances wh+A1:C31ere multiple parameters were pulled from the same source.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</si>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</sst>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wrapText="1"/>
    </xf>
    <xf numFmtId="0" fontId="4" fillId="0" borderId="0" xfId="1" applyFont="1"/>
    <xf numFmtId="0" fontId="5" fillId="0" borderId="0" xfId="1" applyFont="1"/>
    <xf numFmtId="0" fontId="3" fillId="0" borderId="0" xfId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7" fillId="0" borderId="0" xfId="1" applyFont="1" applyAlignment="1">
      <alignment vertical="center"/>
    </xf>
    <xf numFmtId="0" fontId="7" fillId="0" borderId="0" xfId="0" applyFont="1" applyAlignment="1">
      <alignment horizontal="center" vertical="center" wrapText="1"/>
    </xf>
  </cellXfs>
  <cellStyles count="2">
    <cellStyle name="Normal" xfId="0" builtinId="0"/>
    <cellStyle name="Normal 3 2" xfId="1" xr:uid="{46020754-DAF7-41B2-9520-83E003959073}"/>
  </cellStyles>
  <dxfs count="19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alignment horizontal="right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family val="2"/>
        <scheme val="none"/>
      </font>
      <alignment horizontal="righ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B482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95BDCE-B2FB-4E78-92E2-1C2E6FD41B68}" name="Table1" displayName="Table1" ref="A1:F30" totalsRowShown="0">
  <autoFilter ref="A1:F30" xr:uid="{2A95BDCE-B2FB-4E78-92E2-1C2E6FD41B68}"/>
  <tableColumns count="6">
    <tableColumn id="1" xr3:uid="{0ACA2DFF-7C05-4A67-B3BE-1ABEA4F97127}" name="VAR NAME"/>
    <tableColumn id="2" xr3:uid="{3041EF36-B555-4662-BF43-1FAC9BA8DAB0}" name="TYPE"/>
    <tableColumn id="3" xr3:uid="{BF381E05-C9D1-4985-9E90-D884851D650B}" name="DESCRIPTION"/>
    <tableColumn id="4" xr3:uid="{1494EA2A-C243-4B6F-8191-C9B7566071BD}" name="Possible Values" dataDxfId="18"/>
    <tableColumn id="5" xr3:uid="{D6E3545D-CEFB-40E4-9551-B9AAB1240DB7}" name="Source"/>
    <tableColumn id="6" xr3:uid="{3AB149EA-9F3E-42A2-B62C-AA603C491F2F}" name="Link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E1BB21-28C2-4EE8-95ED-ADBCCADDAF89}" name="Table16" displayName="Table16" ref="A1:C30" totalsRowShown="0" headerRowDxfId="17" dataDxfId="16">
  <autoFilter ref="A1:C30" xr:uid="{2A95BDCE-B2FB-4E78-92E2-1C2E6FD41B68}"/>
  <tableColumns count="3">
    <tableColumn id="1" xr3:uid="{B1B88888-81DE-40B7-B291-1C431D27C174}" name="VAR NAME" dataDxfId="15"/>
    <tableColumn id="3" xr3:uid="{FCA187EB-3425-4CA6-A1BA-D0B29B7679E9}" name="DESCRIPTION" dataDxfId="14"/>
    <tableColumn id="5" xr3:uid="{652A6A21-F2DD-4776-879D-6806A83867AE}" name="Source" dataDxfId="13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6C1193-1E8B-4469-B7AF-CC4CD135CDF3}" name="Table3" displayName="Table3" ref="A1:W52" totalsRowShown="0">
  <autoFilter ref="A1:W52" xr:uid="{186C1193-1E8B-4469-B7AF-CC4CD135CDF3}"/>
  <tableColumns count="23">
    <tableColumn id="1" xr3:uid="{FEE1F9AD-0369-4F7A-96DE-9CABF799D903}" name="loc"/>
    <tableColumn id="2" xr3:uid="{24F2DDB9-8B2C-49A2-A5BA-913673E646AD}" name="per_hs"/>
    <tableColumn id="3" xr3:uid="{F2D5FBFD-E5B4-4BD9-B459-EA938394A035}" name="per_ba"/>
    <tableColumn id="4" xr3:uid="{36CE85C3-EBE5-4EDF-A412-D1390990AEC4}" name="read_avg"/>
    <tableColumn id="23" xr3:uid="{C6E2D4D2-69AE-418C-81C6-8C627D262D55}" name="read_moe_navg"/>
    <tableColumn id="5" xr3:uid="{2C66BB25-8ECE-422C-8852-E89F0FC6120A}" name="read_per_basic"/>
    <tableColumn id="6" xr3:uid="{F44D17B5-5FFF-46CA-995F-84753DB80AEF}" name="read_per_prof"/>
    <tableColumn id="7" xr3:uid="{7219DCA4-B7BF-4746-AF55-370D0E868A0B}" name="math_avg"/>
    <tableColumn id="22" xr3:uid="{B22AD69F-BFEE-4E63-A5CA-DF8AA99FF419}" name="math_moe_navg"/>
    <tableColumn id="8" xr3:uid="{DFE6508B-BD5B-4508-882E-0003FB295362}" name="math_per_basic"/>
    <tableColumn id="9" xr3:uid="{F14B609D-834F-41EF-815A-1F7714FDBE6D}" name="math_per_prof"/>
    <tableColumn id="10" xr3:uid="{50DB9C33-D109-4C50-A6C7-11818DC1DDCC}" name="percap_total"/>
    <tableColumn id="11" xr3:uid="{29302954-9F38-4D54-92AA-95FF3498D595}" name="percap_prim_ed"/>
    <tableColumn id="12" xr3:uid="{AA20EADA-3F23-4CC7-988F-FD106B7F182D}" name="percap_higher_ed"/>
    <tableColumn id="13" xr3:uid="{9606A977-FB61-491D-9D20-7E055A13B17C}" name="teacher_pay"/>
    <tableColumn id="14" xr3:uid="{1C239517-5447-461A-BA7B-F9C8917366FF}" name="pup_teach_ratio"/>
    <tableColumn id="15" xr3:uid="{199B99CF-A406-4036-A638-DEACF9EA965A}" name="fte_teacher_total"/>
    <tableColumn id="21" xr3:uid="{F3927EDE-9F60-47E4-A2C2-D4A842ED096A}" name="min_hours_by8th"/>
    <tableColumn id="16" xr3:uid="{94EEBE2D-EEA0-4603-BFC0-3DCD2FF994CB}" name="mand_attend_age" dataDxfId="12"/>
    <tableColumn id="17" xr3:uid="{02817011-3043-45C1-A411-F305FBD34E8E}" name="dist_req_k_offered"/>
    <tableColumn id="18" xr3:uid="{84921E4E-0DAF-49DC-BCE4-9E51B26C2087}" name="k_attend_req"/>
    <tableColumn id="19" xr3:uid="{630E4305-6891-4080-BC67-90F5ACD274E4}" name="knowledge_exam"/>
    <tableColumn id="20" xr3:uid="{0461110A-ADED-43FC-9106-6CE4CBE96F71}" name="teaching_skill_exam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69F584-D627-4326-8CE0-3CB855F619D7}" name="Table375" displayName="Table375" ref="A1:AC51" totalsRowShown="0">
  <autoFilter ref="A1:AC51" xr:uid="{186C1193-1E8B-4469-B7AF-CC4CD135CDF3}"/>
  <tableColumns count="29">
    <tableColumn id="1" xr3:uid="{2B4C6D1B-B162-4096-A43E-014E871C5F72}" name="loc"/>
    <tableColumn id="2" xr3:uid="{7F841553-AE17-47AA-93E9-CB9B86D81D9F}" name="per_hs"/>
    <tableColumn id="3" xr3:uid="{FB38CAEC-4167-47D4-81C1-E079F76AD582}" name="per_ba"/>
    <tableColumn id="4" xr3:uid="{8E516B74-77FC-4941-9AB6-38EA3F49241B}" name="read_avg"/>
    <tableColumn id="23" xr3:uid="{AF4FF29F-ED47-48FD-8392-82E89A09F621}" name="read_moe_navg"/>
    <tableColumn id="5" xr3:uid="{01309654-1E5E-4AD1-A1AF-414283274D09}" name="read_per_basic"/>
    <tableColumn id="6" xr3:uid="{75F84846-5C48-493C-AFC9-EB181E2A8BAF}" name="read_per_prof"/>
    <tableColumn id="7" xr3:uid="{92900A22-6065-4524-8F83-11E42D6F6341}" name="math_avg"/>
    <tableColumn id="22" xr3:uid="{A96342E0-3ED5-4AF3-A2E4-5837815C0B71}" name="math_moe_navg"/>
    <tableColumn id="8" xr3:uid="{0C83314A-8562-4EC7-80A0-4C34EB715581}" name="math_per_basic"/>
    <tableColumn id="9" xr3:uid="{7AEBAE7C-284C-406B-80C0-7B341ACCB1D6}" name="math_per_prof"/>
    <tableColumn id="24" xr3:uid="{FE83C765-7E62-4650-B169-AA97D39C75EE}" name="both_moe_navg"/>
    <tableColumn id="10" xr3:uid="{CB73B2E8-89D9-491C-B8EB-94E8589BA064}" name="percap_total"/>
    <tableColumn id="11" xr3:uid="{ED602E9D-7B33-483F-BB96-13D6FEE1AC29}" name="percap_prim_ed"/>
    <tableColumn id="12" xr3:uid="{34C58742-535F-4C21-AF14-DD6259297B4A}" name="percap_higher_ed"/>
    <tableColumn id="13" xr3:uid="{D19D9569-511E-4967-877A-B2846D7C1A3E}" name="teacher_pay"/>
    <tableColumn id="14" xr3:uid="{14CC45FE-6DDB-4532-9868-0333B8A565EE}" name="pup_teach_ratio"/>
    <tableColumn id="15" xr3:uid="{C569034D-7247-4E43-9594-73DBA4A4632A}" name="fte_teacher_total"/>
    <tableColumn id="21" xr3:uid="{1FBD5C51-5C18-48AD-8D5B-B510C4D6A799}" name="min_hours_by8th"/>
    <tableColumn id="16" xr3:uid="{1B4F99A9-441D-48A9-8869-DE94A78683E8}" name="mand_attend_age" dataDxfId="11"/>
    <tableColumn id="17" xr3:uid="{ED93AE1A-A371-410C-B330-068685196196}" name="dist_req_k_offered"/>
    <tableColumn id="18" xr3:uid="{EC7E8E2D-9C08-4B00-ACDD-6AFA663D28A4}" name="k_attend_req"/>
    <tableColumn id="19" xr3:uid="{AFC8991D-20A8-4680-9FC4-ADEC6024D3CE}" name="knowledge_exam"/>
    <tableColumn id="20" xr3:uid="{4F172980-A994-47F8-95BE-1F3380F2DC05}" name="teaching_skill_exam"/>
    <tableColumn id="27" xr3:uid="{12DFAE1E-101C-4615-8D47-ADB975349F4B}" name="dem_rep_ratio_16" dataDxfId="10" dataCellStyle="Normal 3 2"/>
    <tableColumn id="26" xr3:uid="{77B2A1D3-8D9F-40C7-AEFD-697B325C7ABA}" name="dem_rep_ratio_20" dataDxfId="9" dataCellStyle="Normal 3 2"/>
    <tableColumn id="25" xr3:uid="{46B9DC52-EF86-40DF-9DE3-C4882D1186A5}" name="dtr_shift" dataDxfId="8">
      <calculatedColumnFormula>Table375[[#This Row],[dem_rep_ratio_16]]-Table375[[#This Row],[dem_rep_ratio_20]]</calculatedColumnFormula>
    </tableColumn>
    <tableColumn id="28" xr3:uid="{8D6BDAC4-E1C8-46CA-BBB9-F82520456A44}" name="percap_title1_funds" dataDxfId="7"/>
    <tableColumn id="29" xr3:uid="{95017642-5618-46B9-B5AA-905D5E6CF2E5}" name="poverty_rate" dataDxf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7DA1EA-741C-4829-A8B8-53F363BC967A}" name="Table373" displayName="Table373" ref="A1:AC47" totalsRowShown="0">
  <autoFilter ref="A1:AC47" xr:uid="{186C1193-1E8B-4469-B7AF-CC4CD135CDF3}"/>
  <tableColumns count="29">
    <tableColumn id="1" xr3:uid="{7ED24289-3CDA-492C-B82E-D6817F9DABE7}" name="loc"/>
    <tableColumn id="2" xr3:uid="{E8CC6D90-C4B5-4AD6-B9D9-D07AA990C24E}" name="per_hs"/>
    <tableColumn id="3" xr3:uid="{C48FB008-F926-4930-AA4F-82B56BDEDD65}" name="per_ba"/>
    <tableColumn id="4" xr3:uid="{DC872CE6-CC11-4AA3-807E-1E4F0BEDB269}" name="read_avg"/>
    <tableColumn id="23" xr3:uid="{F63D739F-BB2F-47C7-923B-1174A498885B}" name="read_moe_navg"/>
    <tableColumn id="5" xr3:uid="{FAB6F2AB-26FB-4054-AF6C-5B887CCBE23D}" name="read_per_basic"/>
    <tableColumn id="6" xr3:uid="{289F42AC-5C23-42C4-A701-7693C44C87D2}" name="read_per_prof"/>
    <tableColumn id="7" xr3:uid="{7D18061B-C7CB-4084-B678-F1C068BFB1A1}" name="math_avg"/>
    <tableColumn id="22" xr3:uid="{A6A95ED3-8416-4BB2-A696-9103E1DBF6F0}" name="math_moe_navg"/>
    <tableColumn id="8" xr3:uid="{AEC6CE4C-95DF-47F4-8E64-27B723A0E362}" name="math_per_basic"/>
    <tableColumn id="9" xr3:uid="{4AD7BA39-AF44-4621-8776-0CEA66F1D854}" name="math_per_prof"/>
    <tableColumn id="24" xr3:uid="{75364D39-12CA-4D0E-8BC3-4C3F21E78233}" name="both_moe_navg"/>
    <tableColumn id="10" xr3:uid="{8B6B33C6-BE5E-48D9-BF6D-49940B363BD7}" name="percap_total"/>
    <tableColumn id="11" xr3:uid="{A9DDAFA2-950B-4AD9-BF03-3CCD446A0113}" name="percap_prim_ed"/>
    <tableColumn id="12" xr3:uid="{A1B4E287-F43E-4FBE-9D1C-BC93B827EBCF}" name="percap_higher_ed"/>
    <tableColumn id="13" xr3:uid="{C594D134-2F02-4CCA-8387-D674E9DEE50C}" name="teacher_pay"/>
    <tableColumn id="14" xr3:uid="{5BAB9C38-874D-4097-8B6C-717BBE361BB4}" name="pup_teach_ratio"/>
    <tableColumn id="15" xr3:uid="{291C4886-3594-4E3D-8E4D-4AB363C8F440}" name="fte_teacher_total"/>
    <tableColumn id="21" xr3:uid="{C6AC7A22-A5D4-4626-8391-8FBE05BDFFE5}" name="min_hours_by8th"/>
    <tableColumn id="16" xr3:uid="{03ABE48F-BFB6-45F2-B1CD-1400E46DE530}" name="mand_attend_age" dataDxfId="5"/>
    <tableColumn id="17" xr3:uid="{A3823F0B-6998-4A09-8756-E336E06F71A7}" name="dist_req_k_offered"/>
    <tableColumn id="18" xr3:uid="{D4F8EEA1-090D-4700-B7E5-5858C0718B7D}" name="k_attend_req"/>
    <tableColumn id="19" xr3:uid="{CEF253C5-AAAC-4849-9DB2-72A705C7B169}" name="knowledge_exam"/>
    <tableColumn id="20" xr3:uid="{7246F3DB-AD05-4F09-94BD-1FEF0292985F}" name="teaching_skill_exam"/>
    <tableColumn id="27" xr3:uid="{089AB427-3FB4-43AC-8FFA-4A1BAB28C8C0}" name="dem_rep_ratio_16" dataDxfId="4" dataCellStyle="Normal 3 2"/>
    <tableColumn id="26" xr3:uid="{FC4A9ADC-A1F5-4685-9B7D-75273F54725D}" name="dem_rep_ratio_20" dataDxfId="3" dataCellStyle="Normal 3 2"/>
    <tableColumn id="25" xr3:uid="{2776AACE-A041-489D-92AB-611EE0CEBCC3}" name="dtr_shift" dataDxfId="2">
      <calculatedColumnFormula>Table373[[#This Row],[dem_rep_ratio_16]]-Table373[[#This Row],[dem_rep_ratio_20]]</calculatedColumnFormula>
    </tableColumn>
    <tableColumn id="28" xr3:uid="{D37E3EE1-72D8-4627-90F9-7FDC3785153D}" name="percap_title1_funds" dataDxfId="1"/>
    <tableColumn id="29" xr3:uid="{DE9A65C8-3709-4E32-950E-1837E8C7C9F0}" name="poverty_rat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7DD7-C0EC-47B4-B4C1-ED4D843E7F9A}">
  <dimension ref="A1:G31"/>
  <sheetViews>
    <sheetView topLeftCell="A6" workbookViewId="0">
      <selection activeCell="D32" sqref="D32"/>
    </sheetView>
  </sheetViews>
  <sheetFormatPr defaultRowHeight="15"/>
  <cols>
    <col min="1" max="1" width="21.140625" customWidth="1"/>
    <col min="2" max="2" width="12.85546875" customWidth="1"/>
    <col min="3" max="3" width="72" customWidth="1"/>
    <col min="4" max="4" width="20.140625" style="5" customWidth="1"/>
    <col min="5" max="5" width="37.28515625" bestFit="1" customWidth="1"/>
    <col min="6" max="6" width="81.42578125" bestFit="1" customWidth="1"/>
    <col min="7" max="7" width="12" customWidth="1"/>
  </cols>
  <sheetData>
    <row r="1" spans="1:7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 s="5" t="s">
        <v>9</v>
      </c>
    </row>
    <row r="3" spans="1:7">
      <c r="A3" t="s">
        <v>10</v>
      </c>
      <c r="B3" t="s">
        <v>11</v>
      </c>
      <c r="C3" t="s">
        <v>12</v>
      </c>
      <c r="D3" s="5" t="s">
        <v>13</v>
      </c>
      <c r="E3" s="12" t="s">
        <v>14</v>
      </c>
      <c r="F3" s="12" t="s">
        <v>15</v>
      </c>
      <c r="G3" s="14"/>
    </row>
    <row r="4" spans="1:7">
      <c r="A4" t="s">
        <v>16</v>
      </c>
      <c r="B4" t="s">
        <v>11</v>
      </c>
      <c r="C4" t="s">
        <v>17</v>
      </c>
      <c r="D4" s="5" t="s">
        <v>13</v>
      </c>
      <c r="E4" s="12"/>
      <c r="F4" s="12"/>
      <c r="G4" s="14"/>
    </row>
    <row r="5" spans="1:7">
      <c r="A5" t="s">
        <v>18</v>
      </c>
      <c r="B5" t="s">
        <v>11</v>
      </c>
      <c r="C5" t="s">
        <v>19</v>
      </c>
      <c r="D5" s="5" t="s">
        <v>20</v>
      </c>
      <c r="E5" s="13" t="s">
        <v>21</v>
      </c>
      <c r="F5" s="13" t="s">
        <v>22</v>
      </c>
      <c r="G5" s="14"/>
    </row>
    <row r="6" spans="1:7">
      <c r="A6" t="s">
        <v>23</v>
      </c>
      <c r="B6" t="s">
        <v>7</v>
      </c>
      <c r="C6" t="s">
        <v>24</v>
      </c>
      <c r="D6" s="5" t="s">
        <v>25</v>
      </c>
      <c r="E6" s="13"/>
      <c r="F6" s="13"/>
      <c r="G6" s="14"/>
    </row>
    <row r="7" spans="1:7">
      <c r="A7" t="s">
        <v>26</v>
      </c>
      <c r="B7" t="s">
        <v>11</v>
      </c>
      <c r="C7" t="s">
        <v>27</v>
      </c>
      <c r="D7" s="5" t="s">
        <v>13</v>
      </c>
      <c r="E7" s="13"/>
      <c r="F7" s="13"/>
      <c r="G7" s="14"/>
    </row>
    <row r="8" spans="1:7">
      <c r="A8" t="s">
        <v>28</v>
      </c>
      <c r="B8" t="s">
        <v>11</v>
      </c>
      <c r="C8" t="s">
        <v>29</v>
      </c>
      <c r="D8" s="5" t="s">
        <v>13</v>
      </c>
      <c r="E8" s="13"/>
      <c r="F8" s="13"/>
      <c r="G8" s="14"/>
    </row>
    <row r="9" spans="1:7">
      <c r="A9" t="s">
        <v>30</v>
      </c>
      <c r="B9" t="s">
        <v>11</v>
      </c>
      <c r="C9" t="s">
        <v>31</v>
      </c>
      <c r="D9" s="5" t="s">
        <v>20</v>
      </c>
      <c r="E9" s="13"/>
      <c r="F9" s="13"/>
      <c r="G9" s="14"/>
    </row>
    <row r="10" spans="1:7">
      <c r="A10" t="s">
        <v>32</v>
      </c>
      <c r="B10" t="s">
        <v>7</v>
      </c>
      <c r="C10" t="s">
        <v>33</v>
      </c>
      <c r="D10" s="5" t="s">
        <v>25</v>
      </c>
      <c r="E10" s="13"/>
      <c r="F10" s="13"/>
      <c r="G10" s="14"/>
    </row>
    <row r="11" spans="1:7">
      <c r="A11" t="s">
        <v>34</v>
      </c>
      <c r="B11" t="s">
        <v>11</v>
      </c>
      <c r="C11" t="s">
        <v>35</v>
      </c>
      <c r="D11" s="5" t="s">
        <v>13</v>
      </c>
      <c r="E11" s="13"/>
      <c r="F11" s="13"/>
      <c r="G11" s="14"/>
    </row>
    <row r="12" spans="1:7">
      <c r="A12" t="s">
        <v>36</v>
      </c>
      <c r="B12" t="s">
        <v>11</v>
      </c>
      <c r="C12" t="s">
        <v>29</v>
      </c>
      <c r="D12" s="5" t="s">
        <v>13</v>
      </c>
      <c r="E12" s="13"/>
      <c r="F12" s="13"/>
      <c r="G12" s="14"/>
    </row>
    <row r="13" spans="1:7">
      <c r="A13" t="s">
        <v>37</v>
      </c>
      <c r="B13" t="s">
        <v>7</v>
      </c>
      <c r="C13" t="s">
        <v>38</v>
      </c>
      <c r="D13" s="5" t="s">
        <v>25</v>
      </c>
      <c r="E13" s="13"/>
      <c r="F13" s="13"/>
      <c r="G13" s="14"/>
    </row>
    <row r="14" spans="1:7">
      <c r="A14" t="s">
        <v>39</v>
      </c>
      <c r="B14" t="s">
        <v>11</v>
      </c>
      <c r="C14" t="s">
        <v>40</v>
      </c>
      <c r="D14" t="s">
        <v>41</v>
      </c>
      <c r="E14" s="12" t="s">
        <v>42</v>
      </c>
      <c r="F14" s="12" t="s">
        <v>43</v>
      </c>
      <c r="G14" s="14"/>
    </row>
    <row r="15" spans="1:7">
      <c r="A15" t="s">
        <v>44</v>
      </c>
      <c r="B15" t="s">
        <v>11</v>
      </c>
      <c r="C15" t="s">
        <v>45</v>
      </c>
      <c r="D15" t="s">
        <v>46</v>
      </c>
      <c r="E15" s="12"/>
      <c r="F15" s="12"/>
      <c r="G15" s="14"/>
    </row>
    <row r="16" spans="1:7">
      <c r="A16" t="s">
        <v>47</v>
      </c>
      <c r="B16" t="s">
        <v>11</v>
      </c>
      <c r="C16" t="s">
        <v>48</v>
      </c>
      <c r="D16" t="s">
        <v>49</v>
      </c>
      <c r="E16" s="12"/>
      <c r="F16" s="12"/>
      <c r="G16" s="14"/>
    </row>
    <row r="17" spans="1:7">
      <c r="A17" t="s">
        <v>50</v>
      </c>
      <c r="B17" t="s">
        <v>11</v>
      </c>
      <c r="C17" t="s">
        <v>51</v>
      </c>
      <c r="D17" t="s">
        <v>52</v>
      </c>
      <c r="E17" t="s">
        <v>53</v>
      </c>
      <c r="F17" t="s">
        <v>54</v>
      </c>
      <c r="G17" s="14"/>
    </row>
    <row r="18" spans="1:7">
      <c r="A18" t="s">
        <v>55</v>
      </c>
      <c r="B18" t="s">
        <v>11</v>
      </c>
      <c r="C18" t="s">
        <v>56</v>
      </c>
      <c r="D18" t="s">
        <v>57</v>
      </c>
      <c r="E18" s="13" t="s">
        <v>58</v>
      </c>
      <c r="F18" s="13" t="s">
        <v>59</v>
      </c>
      <c r="G18" s="14"/>
    </row>
    <row r="19" spans="1:7">
      <c r="A19" t="s">
        <v>60</v>
      </c>
      <c r="B19" t="s">
        <v>11</v>
      </c>
      <c r="C19" t="s">
        <v>61</v>
      </c>
      <c r="D19" t="s">
        <v>62</v>
      </c>
      <c r="E19" s="13"/>
      <c r="F19" s="13"/>
      <c r="G19" s="14"/>
    </row>
    <row r="20" spans="1:7">
      <c r="A20" t="s">
        <v>63</v>
      </c>
      <c r="B20" t="s">
        <v>11</v>
      </c>
      <c r="C20" t="s">
        <v>64</v>
      </c>
      <c r="D20" s="5" t="s">
        <v>65</v>
      </c>
      <c r="E20" s="12" t="s">
        <v>66</v>
      </c>
      <c r="F20" s="12" t="s">
        <v>67</v>
      </c>
      <c r="G20" s="14"/>
    </row>
    <row r="21" spans="1:7">
      <c r="A21" t="s">
        <v>68</v>
      </c>
      <c r="B21" t="s">
        <v>7</v>
      </c>
      <c r="C21" t="s">
        <v>69</v>
      </c>
      <c r="D21" s="5" t="s">
        <v>70</v>
      </c>
      <c r="E21" s="12"/>
      <c r="F21" s="12"/>
      <c r="G21" s="14"/>
    </row>
    <row r="22" spans="1:7" ht="30">
      <c r="A22" t="s">
        <v>71</v>
      </c>
      <c r="B22" t="s">
        <v>7</v>
      </c>
      <c r="C22" s="6" t="s">
        <v>72</v>
      </c>
      <c r="D22" s="5" t="s">
        <v>73</v>
      </c>
      <c r="E22" s="12"/>
      <c r="F22" s="12"/>
      <c r="G22" s="14"/>
    </row>
    <row r="23" spans="1:7" ht="30">
      <c r="A23" t="s">
        <v>74</v>
      </c>
      <c r="B23" t="s">
        <v>7</v>
      </c>
      <c r="C23" s="6" t="s">
        <v>75</v>
      </c>
      <c r="D23" s="5" t="s">
        <v>76</v>
      </c>
      <c r="E23" s="12"/>
      <c r="F23" s="12"/>
      <c r="G23" s="14"/>
    </row>
    <row r="24" spans="1:7" ht="75">
      <c r="A24" t="s">
        <v>77</v>
      </c>
      <c r="B24" t="s">
        <v>7</v>
      </c>
      <c r="C24" s="6" t="s">
        <v>78</v>
      </c>
      <c r="D24" s="7" t="s">
        <v>79</v>
      </c>
      <c r="E24" s="13" t="s">
        <v>66</v>
      </c>
      <c r="F24" s="13" t="s">
        <v>80</v>
      </c>
      <c r="G24" s="14"/>
    </row>
    <row r="25" spans="1:7" ht="75">
      <c r="A25" t="s">
        <v>81</v>
      </c>
      <c r="B25" t="s">
        <v>7</v>
      </c>
      <c r="C25" s="6" t="s">
        <v>82</v>
      </c>
      <c r="D25" s="5" t="s">
        <v>83</v>
      </c>
      <c r="E25" s="13"/>
      <c r="F25" s="13"/>
      <c r="G25" s="14"/>
    </row>
    <row r="26" spans="1:7">
      <c r="A26" s="10" t="s">
        <v>84</v>
      </c>
      <c r="B26" t="s">
        <v>11</v>
      </c>
      <c r="C26" s="6" t="s">
        <v>85</v>
      </c>
      <c r="D26" t="s">
        <v>86</v>
      </c>
      <c r="E26" t="s">
        <v>87</v>
      </c>
      <c r="F26" t="s">
        <v>88</v>
      </c>
      <c r="G26" s="15"/>
    </row>
    <row r="27" spans="1:7">
      <c r="A27" s="10" t="s">
        <v>89</v>
      </c>
      <c r="B27" t="s">
        <v>11</v>
      </c>
      <c r="C27" s="6" t="s">
        <v>90</v>
      </c>
      <c r="D27" t="s">
        <v>91</v>
      </c>
      <c r="E27" t="s">
        <v>87</v>
      </c>
      <c r="F27" t="s">
        <v>92</v>
      </c>
      <c r="G27" s="15"/>
    </row>
    <row r="28" spans="1:7">
      <c r="A28" s="11" t="s">
        <v>93</v>
      </c>
      <c r="B28" t="s">
        <v>11</v>
      </c>
      <c r="C28" s="6" t="s">
        <v>94</v>
      </c>
      <c r="D28" t="s">
        <v>95</v>
      </c>
      <c r="E28" t="s">
        <v>96</v>
      </c>
      <c r="F28" t="s">
        <v>97</v>
      </c>
      <c r="G28" s="15"/>
    </row>
    <row r="29" spans="1:7">
      <c r="A29" s="11" t="s">
        <v>98</v>
      </c>
      <c r="B29" t="s">
        <v>11</v>
      </c>
      <c r="C29" s="6" t="s">
        <v>99</v>
      </c>
      <c r="D29" t="s">
        <v>100</v>
      </c>
      <c r="E29" t="s">
        <v>101</v>
      </c>
      <c r="F29" t="s">
        <v>102</v>
      </c>
      <c r="G29" s="15"/>
    </row>
    <row r="30" spans="1:7">
      <c r="A30" s="11" t="s">
        <v>103</v>
      </c>
      <c r="B30" t="s">
        <v>11</v>
      </c>
      <c r="C30" s="6" t="s">
        <v>104</v>
      </c>
      <c r="D30" t="s">
        <v>13</v>
      </c>
      <c r="E30" t="s">
        <v>105</v>
      </c>
      <c r="F30" t="s">
        <v>106</v>
      </c>
      <c r="G30" s="15"/>
    </row>
    <row r="31" spans="1:7">
      <c r="A31" t="s">
        <v>107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3C6D-2B69-4D20-A20E-0D29C5D46AF6}">
  <dimension ref="A1:D31"/>
  <sheetViews>
    <sheetView tabSelected="1" view="pageBreakPreview" topLeftCell="A23" zoomScaleNormal="100" zoomScaleSheetLayoutView="100" workbookViewId="0">
      <selection activeCell="A31" sqref="A1:C31"/>
    </sheetView>
  </sheetViews>
  <sheetFormatPr defaultRowHeight="15"/>
  <cols>
    <col min="1" max="1" width="18.7109375" customWidth="1"/>
    <col min="2" max="2" width="43.42578125" style="5" customWidth="1"/>
    <col min="3" max="3" width="20.140625" style="5" customWidth="1"/>
    <col min="4" max="4" width="12" customWidth="1"/>
  </cols>
  <sheetData>
    <row r="1" spans="1:4" ht="15.75">
      <c r="A1" s="17" t="s">
        <v>0</v>
      </c>
      <c r="B1" s="16" t="s">
        <v>2</v>
      </c>
      <c r="C1" s="16" t="s">
        <v>4</v>
      </c>
    </row>
    <row r="2" spans="1:4" ht="15.75">
      <c r="A2" s="17" t="s">
        <v>6</v>
      </c>
      <c r="B2" s="16" t="s">
        <v>8</v>
      </c>
      <c r="C2" s="16"/>
    </row>
    <row r="3" spans="1:4" ht="31.5">
      <c r="A3" s="17" t="s">
        <v>10</v>
      </c>
      <c r="B3" s="16" t="s">
        <v>12</v>
      </c>
      <c r="C3" s="18" t="s">
        <v>14</v>
      </c>
      <c r="D3" s="14"/>
    </row>
    <row r="4" spans="1:4" ht="15.75">
      <c r="A4" s="17" t="s">
        <v>16</v>
      </c>
      <c r="B4" s="16" t="s">
        <v>17</v>
      </c>
      <c r="C4" s="18"/>
      <c r="D4" s="14"/>
    </row>
    <row r="5" spans="1:4" ht="31.5">
      <c r="A5" s="17" t="s">
        <v>18</v>
      </c>
      <c r="B5" s="16" t="s">
        <v>19</v>
      </c>
      <c r="C5" s="19" t="s">
        <v>21</v>
      </c>
      <c r="D5" s="14"/>
    </row>
    <row r="6" spans="1:4" ht="31.5">
      <c r="A6" s="17" t="s">
        <v>23</v>
      </c>
      <c r="B6" s="16" t="s">
        <v>108</v>
      </c>
      <c r="C6" s="19"/>
      <c r="D6" s="14"/>
    </row>
    <row r="7" spans="1:4" ht="31.5">
      <c r="A7" s="17" t="s">
        <v>26</v>
      </c>
      <c r="B7" s="16" t="s">
        <v>27</v>
      </c>
      <c r="C7" s="19"/>
      <c r="D7" s="14"/>
    </row>
    <row r="8" spans="1:4" ht="31.5">
      <c r="A8" s="17" t="s">
        <v>28</v>
      </c>
      <c r="B8" s="16" t="s">
        <v>29</v>
      </c>
      <c r="C8" s="19"/>
      <c r="D8" s="14"/>
    </row>
    <row r="9" spans="1:4" ht="31.5">
      <c r="A9" s="17" t="s">
        <v>30</v>
      </c>
      <c r="B9" s="16" t="s">
        <v>31</v>
      </c>
      <c r="C9" s="19"/>
      <c r="D9" s="14"/>
    </row>
    <row r="10" spans="1:4" ht="31.5">
      <c r="A10" s="17" t="s">
        <v>32</v>
      </c>
      <c r="B10" s="16" t="s">
        <v>109</v>
      </c>
      <c r="C10" s="19"/>
      <c r="D10" s="14"/>
    </row>
    <row r="11" spans="1:4" ht="31.5">
      <c r="A11" s="17" t="s">
        <v>34</v>
      </c>
      <c r="B11" s="16" t="s">
        <v>35</v>
      </c>
      <c r="C11" s="19"/>
      <c r="D11" s="14"/>
    </row>
    <row r="12" spans="1:4" ht="31.5">
      <c r="A12" s="17" t="s">
        <v>36</v>
      </c>
      <c r="B12" s="16" t="s">
        <v>29</v>
      </c>
      <c r="C12" s="19"/>
      <c r="D12" s="14"/>
    </row>
    <row r="13" spans="1:4" ht="31.5">
      <c r="A13" s="17" t="s">
        <v>37</v>
      </c>
      <c r="B13" s="16" t="s">
        <v>38</v>
      </c>
      <c r="C13" s="19"/>
      <c r="D13" s="14"/>
    </row>
    <row r="14" spans="1:4" ht="15.75">
      <c r="A14" s="17" t="s">
        <v>39</v>
      </c>
      <c r="B14" s="16" t="s">
        <v>40</v>
      </c>
      <c r="C14" s="18" t="s">
        <v>42</v>
      </c>
      <c r="D14" s="14"/>
    </row>
    <row r="15" spans="1:4" ht="31.5">
      <c r="A15" s="17" t="s">
        <v>44</v>
      </c>
      <c r="B15" s="16" t="s">
        <v>45</v>
      </c>
      <c r="C15" s="18"/>
      <c r="D15" s="14"/>
    </row>
    <row r="16" spans="1:4" ht="31.5">
      <c r="A16" s="17" t="s">
        <v>47</v>
      </c>
      <c r="B16" s="16" t="s">
        <v>48</v>
      </c>
      <c r="C16" s="18"/>
      <c r="D16" s="14"/>
    </row>
    <row r="17" spans="1:4" ht="31.5">
      <c r="A17" s="17" t="s">
        <v>50</v>
      </c>
      <c r="B17" s="16" t="s">
        <v>51</v>
      </c>
      <c r="C17" s="16" t="s">
        <v>53</v>
      </c>
      <c r="D17" s="14"/>
    </row>
    <row r="18" spans="1:4" ht="15.75">
      <c r="A18" s="17" t="s">
        <v>55</v>
      </c>
      <c r="B18" s="16" t="s">
        <v>56</v>
      </c>
      <c r="C18" s="19" t="s">
        <v>58</v>
      </c>
      <c r="D18" s="14"/>
    </row>
    <row r="19" spans="1:4" ht="31.5">
      <c r="A19" s="17" t="s">
        <v>60</v>
      </c>
      <c r="B19" s="16" t="s">
        <v>61</v>
      </c>
      <c r="C19" s="19"/>
      <c r="D19" s="14"/>
    </row>
    <row r="20" spans="1:4" ht="31.5">
      <c r="A20" s="17" t="s">
        <v>63</v>
      </c>
      <c r="B20" s="16" t="s">
        <v>64</v>
      </c>
      <c r="C20" s="18" t="s">
        <v>66</v>
      </c>
      <c r="D20" s="14"/>
    </row>
    <row r="21" spans="1:4" ht="15.75">
      <c r="A21" s="17" t="s">
        <v>68</v>
      </c>
      <c r="B21" s="16" t="s">
        <v>69</v>
      </c>
      <c r="C21" s="18"/>
      <c r="D21" s="14"/>
    </row>
    <row r="22" spans="1:4" ht="31.5">
      <c r="A22" s="17" t="s">
        <v>71</v>
      </c>
      <c r="B22" s="16" t="s">
        <v>72</v>
      </c>
      <c r="C22" s="18"/>
      <c r="D22" s="14"/>
    </row>
    <row r="23" spans="1:4" ht="31.5">
      <c r="A23" s="17" t="s">
        <v>74</v>
      </c>
      <c r="B23" s="16" t="s">
        <v>75</v>
      </c>
      <c r="C23" s="18"/>
      <c r="D23" s="14"/>
    </row>
    <row r="24" spans="1:4" ht="31.5">
      <c r="A24" s="17" t="s">
        <v>77</v>
      </c>
      <c r="B24" s="16" t="s">
        <v>78</v>
      </c>
      <c r="C24" s="19" t="s">
        <v>66</v>
      </c>
      <c r="D24" s="14"/>
    </row>
    <row r="25" spans="1:4" ht="31.5">
      <c r="A25" s="17" t="s">
        <v>81</v>
      </c>
      <c r="B25" s="16" t="s">
        <v>82</v>
      </c>
      <c r="C25" s="19"/>
      <c r="D25" s="14"/>
    </row>
    <row r="26" spans="1:4" ht="31.5">
      <c r="A26" s="20" t="s">
        <v>84</v>
      </c>
      <c r="B26" s="16" t="s">
        <v>85</v>
      </c>
      <c r="C26" s="16" t="s">
        <v>87</v>
      </c>
      <c r="D26" s="15"/>
    </row>
    <row r="27" spans="1:4" ht="31.5">
      <c r="A27" s="20" t="s">
        <v>89</v>
      </c>
      <c r="B27" s="16" t="s">
        <v>90</v>
      </c>
      <c r="C27" s="16" t="s">
        <v>87</v>
      </c>
      <c r="D27" s="15"/>
    </row>
    <row r="28" spans="1:4" ht="15.75">
      <c r="A28" s="17" t="s">
        <v>93</v>
      </c>
      <c r="B28" s="16" t="s">
        <v>94</v>
      </c>
      <c r="C28" s="16" t="s">
        <v>96</v>
      </c>
      <c r="D28" s="15"/>
    </row>
    <row r="29" spans="1:4" ht="47.25">
      <c r="A29" s="17" t="s">
        <v>98</v>
      </c>
      <c r="B29" s="16" t="s">
        <v>99</v>
      </c>
      <c r="C29" s="16" t="s">
        <v>101</v>
      </c>
      <c r="D29" s="15"/>
    </row>
    <row r="30" spans="1:4" ht="31.5">
      <c r="A30" s="17" t="s">
        <v>103</v>
      </c>
      <c r="B30" s="16" t="s">
        <v>104</v>
      </c>
      <c r="C30" s="16" t="s">
        <v>105</v>
      </c>
      <c r="D30" s="15"/>
    </row>
    <row r="31" spans="1:4" ht="15.75">
      <c r="A31" s="21" t="s">
        <v>110</v>
      </c>
      <c r="B31" s="21"/>
      <c r="C31" s="21"/>
    </row>
  </sheetData>
  <mergeCells count="1">
    <mergeCell ref="A31:C3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6B5E-357D-4EEE-A77C-0AB4A8A4B8AA}">
  <dimension ref="A1:W52"/>
  <sheetViews>
    <sheetView workbookViewId="0">
      <pane xSplit="1" ySplit="1" topLeftCell="B2" activePane="bottomRight" state="frozen"/>
      <selection pane="bottomRight" activeCell="I53" sqref="I53"/>
      <selection pane="bottomLeft" activeCell="A2" sqref="A2"/>
      <selection pane="topRight" activeCell="B1" sqref="B1"/>
    </sheetView>
  </sheetViews>
  <sheetFormatPr defaultRowHeight="15"/>
  <cols>
    <col min="3" max="3" width="9.28515625" customWidth="1"/>
    <col min="4" max="5" width="11.140625" customWidth="1"/>
    <col min="6" max="6" width="16.5703125" customWidth="1"/>
    <col min="7" max="7" width="15.85546875" customWidth="1"/>
    <col min="8" max="9" width="11.7109375" customWidth="1"/>
    <col min="10" max="10" width="17.140625" customWidth="1"/>
    <col min="11" max="11" width="16.42578125" customWidth="1"/>
    <col min="12" max="12" width="14.28515625" customWidth="1"/>
    <col min="13" max="13" width="17.5703125" customWidth="1"/>
    <col min="14" max="14" width="19.140625" customWidth="1"/>
    <col min="15" max="15" width="14" customWidth="1"/>
    <col min="16" max="16" width="17.5703125" customWidth="1"/>
    <col min="17" max="17" width="18.5703125" customWidth="1"/>
    <col min="18" max="18" width="19.140625" customWidth="1"/>
    <col min="19" max="19" width="20.140625" customWidth="1"/>
    <col min="20" max="20" width="15" customWidth="1"/>
    <col min="21" max="21" width="18.85546875" customWidth="1"/>
    <col min="22" max="22" width="21.140625" customWidth="1"/>
  </cols>
  <sheetData>
    <row r="1" spans="1:23">
      <c r="A1" t="s">
        <v>6</v>
      </c>
      <c r="B1" t="s">
        <v>10</v>
      </c>
      <c r="C1" t="s">
        <v>16</v>
      </c>
      <c r="D1" t="s">
        <v>18</v>
      </c>
      <c r="E1" t="s">
        <v>23</v>
      </c>
      <c r="F1" t="s">
        <v>26</v>
      </c>
      <c r="G1" t="s">
        <v>28</v>
      </c>
      <c r="H1" t="s">
        <v>30</v>
      </c>
      <c r="I1" t="s">
        <v>32</v>
      </c>
      <c r="J1" t="s">
        <v>34</v>
      </c>
      <c r="K1" t="s">
        <v>36</v>
      </c>
      <c r="L1" t="s">
        <v>39</v>
      </c>
      <c r="M1" t="s">
        <v>44</v>
      </c>
      <c r="N1" t="s">
        <v>47</v>
      </c>
      <c r="O1" t="s">
        <v>50</v>
      </c>
      <c r="P1" t="s">
        <v>55</v>
      </c>
      <c r="Q1" t="s">
        <v>60</v>
      </c>
      <c r="R1" t="s">
        <v>63</v>
      </c>
      <c r="S1" t="s">
        <v>68</v>
      </c>
      <c r="T1" t="s">
        <v>71</v>
      </c>
      <c r="U1" t="s">
        <v>74</v>
      </c>
      <c r="V1" t="s">
        <v>77</v>
      </c>
      <c r="W1" t="s">
        <v>81</v>
      </c>
    </row>
    <row r="2" spans="1:23">
      <c r="A2" t="s">
        <v>111</v>
      </c>
      <c r="B2">
        <v>86.9</v>
      </c>
      <c r="C2">
        <v>26.2</v>
      </c>
      <c r="D2">
        <v>251</v>
      </c>
      <c r="E2">
        <v>0</v>
      </c>
      <c r="F2">
        <v>61</v>
      </c>
      <c r="G2">
        <v>22</v>
      </c>
      <c r="H2">
        <v>264</v>
      </c>
      <c r="I2">
        <v>0</v>
      </c>
      <c r="J2">
        <v>53</v>
      </c>
      <c r="K2">
        <v>19</v>
      </c>
      <c r="L2">
        <v>9366.2099999999991</v>
      </c>
      <c r="M2">
        <v>1758.33</v>
      </c>
      <c r="N2">
        <v>1193.6099999999999</v>
      </c>
      <c r="O2">
        <v>0.875</v>
      </c>
      <c r="P2">
        <v>17.350000000000001</v>
      </c>
      <c r="Q2">
        <v>42335.96</v>
      </c>
      <c r="R2">
        <f>1080*9</f>
        <v>9720</v>
      </c>
      <c r="S2" s="2">
        <v>6</v>
      </c>
      <c r="T2">
        <v>2</v>
      </c>
      <c r="U2">
        <v>1</v>
      </c>
      <c r="V2">
        <v>3</v>
      </c>
      <c r="W2">
        <v>3</v>
      </c>
    </row>
    <row r="3" spans="1:23">
      <c r="A3" t="s">
        <v>112</v>
      </c>
      <c r="B3">
        <v>93.1</v>
      </c>
      <c r="C3">
        <v>30</v>
      </c>
      <c r="D3">
        <v>253</v>
      </c>
      <c r="E3">
        <v>0</v>
      </c>
      <c r="F3">
        <v>63</v>
      </c>
      <c r="G3">
        <v>26</v>
      </c>
      <c r="H3">
        <v>270</v>
      </c>
      <c r="I3">
        <v>0</v>
      </c>
      <c r="J3">
        <v>59</v>
      </c>
      <c r="K3">
        <v>23</v>
      </c>
      <c r="L3">
        <v>18719.45</v>
      </c>
      <c r="M3">
        <v>3448.06</v>
      </c>
      <c r="N3">
        <v>864.32</v>
      </c>
      <c r="O3">
        <v>1.014</v>
      </c>
      <c r="P3">
        <v>17.18</v>
      </c>
      <c r="Q3">
        <v>7558.21</v>
      </c>
      <c r="R3">
        <f>(4*740)+(5*900)</f>
        <v>7460</v>
      </c>
      <c r="S3" s="2">
        <v>7</v>
      </c>
      <c r="T3">
        <v>0</v>
      </c>
      <c r="U3">
        <v>1</v>
      </c>
      <c r="V3">
        <v>3</v>
      </c>
      <c r="W3">
        <v>0</v>
      </c>
    </row>
    <row r="4" spans="1:23">
      <c r="A4" t="s">
        <v>113</v>
      </c>
      <c r="B4">
        <v>87.9</v>
      </c>
      <c r="C4">
        <v>30.3</v>
      </c>
      <c r="D4">
        <v>259</v>
      </c>
      <c r="E4">
        <v>1</v>
      </c>
      <c r="F4">
        <v>68</v>
      </c>
      <c r="G4">
        <v>28</v>
      </c>
      <c r="H4">
        <v>271</v>
      </c>
      <c r="I4">
        <v>0</v>
      </c>
      <c r="J4">
        <v>58</v>
      </c>
      <c r="K4">
        <v>24</v>
      </c>
      <c r="L4">
        <v>8715.84</v>
      </c>
      <c r="M4">
        <v>1381.1</v>
      </c>
      <c r="N4">
        <v>960.17</v>
      </c>
      <c r="O4">
        <v>0.95299999999999996</v>
      </c>
      <c r="P4">
        <v>22.43</v>
      </c>
      <c r="Q4">
        <v>49546.93</v>
      </c>
      <c r="R4">
        <f>(3*712)+(5*890)</f>
        <v>6586</v>
      </c>
      <c r="S4" s="2">
        <v>6</v>
      </c>
      <c r="T4">
        <v>1</v>
      </c>
      <c r="U4">
        <v>1</v>
      </c>
      <c r="V4">
        <v>2</v>
      </c>
      <c r="W4">
        <v>1</v>
      </c>
    </row>
    <row r="5" spans="1:23">
      <c r="A5" t="s">
        <v>114</v>
      </c>
      <c r="B5">
        <v>87.2</v>
      </c>
      <c r="C5">
        <v>23.8</v>
      </c>
      <c r="D5">
        <v>255</v>
      </c>
      <c r="E5">
        <v>0</v>
      </c>
      <c r="F5">
        <v>64</v>
      </c>
      <c r="G5">
        <v>26</v>
      </c>
      <c r="H5">
        <v>267</v>
      </c>
      <c r="I5">
        <v>0</v>
      </c>
      <c r="J5">
        <v>55</v>
      </c>
      <c r="K5">
        <v>19</v>
      </c>
      <c r="L5">
        <v>9048.91</v>
      </c>
      <c r="M5">
        <v>1881.77</v>
      </c>
      <c r="N5">
        <v>962.73</v>
      </c>
      <c r="O5">
        <v>0.89300000000000002</v>
      </c>
      <c r="P5">
        <v>12.62</v>
      </c>
      <c r="Q5">
        <v>38542.660000000003</v>
      </c>
      <c r="R5">
        <v>0</v>
      </c>
      <c r="S5" s="2">
        <v>5</v>
      </c>
      <c r="T5">
        <v>2</v>
      </c>
      <c r="U5">
        <v>2</v>
      </c>
      <c r="V5">
        <v>3</v>
      </c>
      <c r="W5">
        <v>1</v>
      </c>
    </row>
    <row r="6" spans="1:23">
      <c r="A6" t="s">
        <v>115</v>
      </c>
      <c r="B6">
        <v>83.9</v>
      </c>
      <c r="C6">
        <v>34.700000000000003</v>
      </c>
      <c r="D6">
        <v>259</v>
      </c>
      <c r="E6">
        <v>1</v>
      </c>
      <c r="F6">
        <v>67</v>
      </c>
      <c r="G6">
        <v>30</v>
      </c>
      <c r="H6">
        <v>270</v>
      </c>
      <c r="I6">
        <v>0</v>
      </c>
      <c r="J6">
        <v>56</v>
      </c>
      <c r="K6">
        <v>23</v>
      </c>
      <c r="L6">
        <v>14684.88</v>
      </c>
      <c r="M6">
        <v>2527.0700000000002</v>
      </c>
      <c r="N6">
        <v>1332.37</v>
      </c>
      <c r="O6">
        <v>1.173</v>
      </c>
      <c r="P6">
        <v>22.47</v>
      </c>
      <c r="Q6">
        <v>269850.03000000003</v>
      </c>
      <c r="R6">
        <f>600+3*840+5*900</f>
        <v>7620</v>
      </c>
      <c r="S6" s="2">
        <v>6</v>
      </c>
      <c r="T6">
        <v>1</v>
      </c>
      <c r="U6">
        <v>1</v>
      </c>
      <c r="V6">
        <v>3</v>
      </c>
      <c r="W6">
        <v>2</v>
      </c>
    </row>
    <row r="7" spans="1:23">
      <c r="A7" t="s">
        <v>116</v>
      </c>
      <c r="B7">
        <v>92.1</v>
      </c>
      <c r="C7">
        <v>41.6</v>
      </c>
      <c r="D7">
        <v>263</v>
      </c>
      <c r="E7">
        <v>1</v>
      </c>
      <c r="F7">
        <v>73</v>
      </c>
      <c r="G7">
        <v>34</v>
      </c>
      <c r="H7">
        <v>275</v>
      </c>
      <c r="I7">
        <v>1</v>
      </c>
      <c r="J7">
        <v>63</v>
      </c>
      <c r="K7">
        <v>28</v>
      </c>
      <c r="L7">
        <v>11095.42</v>
      </c>
      <c r="M7">
        <v>2194.9699999999998</v>
      </c>
      <c r="N7">
        <v>1044.27</v>
      </c>
      <c r="O7">
        <v>0.97799999999999998</v>
      </c>
      <c r="P7">
        <v>16.260000000000002</v>
      </c>
      <c r="Q7">
        <v>54318.97</v>
      </c>
      <c r="R7">
        <f>450+5*990+3*1080</f>
        <v>8640</v>
      </c>
      <c r="S7" s="2">
        <v>6</v>
      </c>
      <c r="T7">
        <v>2</v>
      </c>
      <c r="U7">
        <v>1</v>
      </c>
      <c r="V7">
        <v>2</v>
      </c>
      <c r="W7">
        <v>0</v>
      </c>
    </row>
    <row r="8" spans="1:23">
      <c r="A8" t="s">
        <v>117</v>
      </c>
      <c r="B8">
        <v>90.9</v>
      </c>
      <c r="C8">
        <v>40</v>
      </c>
      <c r="D8">
        <v>264</v>
      </c>
      <c r="E8">
        <v>1</v>
      </c>
      <c r="F8">
        <v>72</v>
      </c>
      <c r="G8">
        <v>35</v>
      </c>
      <c r="H8">
        <v>276</v>
      </c>
      <c r="I8">
        <v>1</v>
      </c>
      <c r="J8">
        <v>63</v>
      </c>
      <c r="K8">
        <v>30</v>
      </c>
      <c r="L8">
        <v>10456.26</v>
      </c>
      <c r="M8">
        <v>2855.07</v>
      </c>
      <c r="N8">
        <v>970.37</v>
      </c>
      <c r="O8">
        <v>1.0720000000000001</v>
      </c>
      <c r="P8">
        <v>11.96</v>
      </c>
      <c r="Q8">
        <v>42580.2</v>
      </c>
      <c r="R8">
        <f>450+8*900</f>
        <v>7650</v>
      </c>
      <c r="S8" s="2">
        <v>5</v>
      </c>
      <c r="T8">
        <v>1</v>
      </c>
      <c r="U8">
        <v>2</v>
      </c>
      <c r="V8">
        <v>3</v>
      </c>
      <c r="W8">
        <v>0</v>
      </c>
    </row>
    <row r="9" spans="1:23">
      <c r="A9" t="s">
        <v>118</v>
      </c>
      <c r="B9">
        <v>90.6</v>
      </c>
      <c r="C9">
        <v>32.700000000000003</v>
      </c>
      <c r="D9">
        <v>253</v>
      </c>
      <c r="E9">
        <v>0</v>
      </c>
      <c r="F9">
        <v>62</v>
      </c>
      <c r="G9">
        <v>24</v>
      </c>
      <c r="H9">
        <v>264</v>
      </c>
      <c r="I9">
        <v>0</v>
      </c>
      <c r="J9">
        <v>51</v>
      </c>
      <c r="K9">
        <v>18</v>
      </c>
      <c r="L9">
        <v>12637.39</v>
      </c>
      <c r="M9">
        <v>2300.1799999999998</v>
      </c>
      <c r="N9">
        <v>1572.15</v>
      </c>
      <c r="O9">
        <v>1</v>
      </c>
      <c r="P9">
        <v>14.02</v>
      </c>
      <c r="Q9">
        <v>9849.93</v>
      </c>
      <c r="R9">
        <f>9*1060</f>
        <v>9540</v>
      </c>
      <c r="S9" s="2">
        <v>5</v>
      </c>
      <c r="T9">
        <v>2</v>
      </c>
      <c r="U9">
        <v>2</v>
      </c>
      <c r="V9">
        <v>3</v>
      </c>
      <c r="W9">
        <v>0</v>
      </c>
    </row>
    <row r="10" spans="1:23">
      <c r="A10" t="s">
        <v>119</v>
      </c>
      <c r="B10">
        <v>91.9</v>
      </c>
      <c r="C10">
        <v>59.8</v>
      </c>
      <c r="D10">
        <v>250</v>
      </c>
      <c r="E10">
        <v>0</v>
      </c>
      <c r="F10">
        <v>57</v>
      </c>
      <c r="G10">
        <v>22</v>
      </c>
      <c r="H10">
        <v>260</v>
      </c>
      <c r="I10">
        <v>0</v>
      </c>
      <c r="J10">
        <v>46</v>
      </c>
      <c r="K10">
        <v>16</v>
      </c>
      <c r="L10">
        <v>25061.19</v>
      </c>
      <c r="M10">
        <v>4952.1899999999996</v>
      </c>
      <c r="N10">
        <v>251.1</v>
      </c>
      <c r="O10">
        <v>1.2849999999999999</v>
      </c>
      <c r="P10">
        <v>11.71</v>
      </c>
      <c r="Q10">
        <v>7678.3</v>
      </c>
      <c r="R10">
        <v>0</v>
      </c>
      <c r="S10" s="2">
        <v>5</v>
      </c>
      <c r="T10">
        <v>2</v>
      </c>
      <c r="U10">
        <v>2</v>
      </c>
      <c r="V10">
        <v>3</v>
      </c>
      <c r="W10">
        <v>1</v>
      </c>
    </row>
    <row r="11" spans="1:23">
      <c r="A11" t="s">
        <v>120</v>
      </c>
      <c r="B11">
        <v>88.5</v>
      </c>
      <c r="C11">
        <v>30.5</v>
      </c>
      <c r="D11">
        <v>260</v>
      </c>
      <c r="E11">
        <v>1</v>
      </c>
      <c r="F11">
        <v>69</v>
      </c>
      <c r="G11">
        <v>29</v>
      </c>
      <c r="H11">
        <v>271</v>
      </c>
      <c r="I11">
        <v>0</v>
      </c>
      <c r="J11">
        <v>58</v>
      </c>
      <c r="K11">
        <v>23</v>
      </c>
      <c r="L11">
        <v>8816.2999999999993</v>
      </c>
      <c r="M11">
        <v>1502.87</v>
      </c>
      <c r="N11">
        <v>560.80999999999995</v>
      </c>
      <c r="O11">
        <v>0.89800000000000002</v>
      </c>
      <c r="P11">
        <v>17.3</v>
      </c>
      <c r="Q11">
        <v>161413.31</v>
      </c>
      <c r="R11">
        <f>4*720+5*900</f>
        <v>7380</v>
      </c>
      <c r="S11" s="2">
        <v>6</v>
      </c>
      <c r="T11">
        <v>0</v>
      </c>
      <c r="U11">
        <v>1</v>
      </c>
      <c r="V11">
        <v>1</v>
      </c>
      <c r="W11">
        <v>2</v>
      </c>
    </row>
    <row r="12" spans="1:23">
      <c r="A12" t="s">
        <v>121</v>
      </c>
      <c r="B12">
        <v>87.9</v>
      </c>
      <c r="C12">
        <v>32.200000000000003</v>
      </c>
      <c r="D12">
        <v>260</v>
      </c>
      <c r="E12">
        <v>1</v>
      </c>
      <c r="F12">
        <v>69</v>
      </c>
      <c r="G12">
        <v>31</v>
      </c>
      <c r="H12">
        <v>271</v>
      </c>
      <c r="I12">
        <v>0</v>
      </c>
      <c r="J12">
        <v>59</v>
      </c>
      <c r="K12">
        <v>24</v>
      </c>
      <c r="L12">
        <v>7971</v>
      </c>
      <c r="M12">
        <v>2115.33</v>
      </c>
      <c r="N12">
        <v>591.07000000000005</v>
      </c>
      <c r="O12">
        <v>0.97</v>
      </c>
      <c r="P12">
        <v>14.65</v>
      </c>
      <c r="Q12">
        <v>118059.1</v>
      </c>
      <c r="R12">
        <v>0</v>
      </c>
      <c r="S12" s="2">
        <v>6</v>
      </c>
      <c r="T12">
        <v>1</v>
      </c>
      <c r="U12">
        <v>1</v>
      </c>
      <c r="V12">
        <v>3</v>
      </c>
      <c r="W12">
        <v>2</v>
      </c>
    </row>
    <row r="13" spans="1:23">
      <c r="A13" t="s">
        <v>122</v>
      </c>
      <c r="B13">
        <v>92.5</v>
      </c>
      <c r="C13">
        <v>33.6</v>
      </c>
      <c r="D13">
        <v>259</v>
      </c>
      <c r="E13">
        <v>1</v>
      </c>
      <c r="F13">
        <v>68</v>
      </c>
      <c r="G13">
        <v>31</v>
      </c>
      <c r="H13">
        <v>270</v>
      </c>
      <c r="I13">
        <v>0</v>
      </c>
      <c r="J13">
        <v>58</v>
      </c>
      <c r="K13">
        <v>22</v>
      </c>
      <c r="L13">
        <v>12306.36</v>
      </c>
      <c r="M13">
        <v>1556.27</v>
      </c>
      <c r="N13">
        <v>850.97</v>
      </c>
      <c r="O13">
        <v>1.0249999999999999</v>
      </c>
      <c r="P13">
        <v>14.53</v>
      </c>
      <c r="Q13">
        <v>12145.4</v>
      </c>
      <c r="R13">
        <f>1080*9</f>
        <v>9720</v>
      </c>
      <c r="S13" s="2">
        <v>5</v>
      </c>
      <c r="T13">
        <v>2</v>
      </c>
      <c r="U13">
        <v>2</v>
      </c>
      <c r="V13">
        <v>3</v>
      </c>
      <c r="W13">
        <v>0</v>
      </c>
    </row>
    <row r="14" spans="1:23">
      <c r="A14" t="s">
        <v>123</v>
      </c>
      <c r="B14">
        <v>91.3</v>
      </c>
      <c r="C14">
        <v>28.7</v>
      </c>
      <c r="D14">
        <v>264</v>
      </c>
      <c r="E14">
        <v>1</v>
      </c>
      <c r="F14">
        <v>74</v>
      </c>
      <c r="G14">
        <v>32</v>
      </c>
      <c r="H14">
        <v>282</v>
      </c>
      <c r="I14">
        <v>1</v>
      </c>
      <c r="J14">
        <v>71</v>
      </c>
      <c r="K14">
        <v>32</v>
      </c>
      <c r="L14">
        <v>8066.8</v>
      </c>
      <c r="M14">
        <v>1404.02</v>
      </c>
      <c r="N14">
        <v>640.19000000000005</v>
      </c>
      <c r="O14">
        <v>0.85299999999999998</v>
      </c>
      <c r="P14">
        <v>17.489999999999998</v>
      </c>
      <c r="Q14">
        <v>17582.259999999998</v>
      </c>
      <c r="R14">
        <f>450+3*810+5*900</f>
        <v>7380</v>
      </c>
      <c r="S14" s="2">
        <v>7</v>
      </c>
      <c r="T14">
        <v>0</v>
      </c>
      <c r="U14">
        <v>1</v>
      </c>
      <c r="V14">
        <v>2</v>
      </c>
      <c r="W14">
        <v>2</v>
      </c>
    </row>
    <row r="15" spans="1:23">
      <c r="A15" t="s">
        <v>124</v>
      </c>
      <c r="B15">
        <v>89.7</v>
      </c>
      <c r="C15">
        <v>35.5</v>
      </c>
      <c r="D15">
        <v>262</v>
      </c>
      <c r="E15">
        <v>1</v>
      </c>
      <c r="F15">
        <v>71</v>
      </c>
      <c r="G15">
        <v>32</v>
      </c>
      <c r="H15">
        <v>275</v>
      </c>
      <c r="I15">
        <v>1</v>
      </c>
      <c r="J15">
        <v>62</v>
      </c>
      <c r="K15">
        <v>27</v>
      </c>
      <c r="L15">
        <v>10989.54</v>
      </c>
      <c r="M15">
        <v>2398.69</v>
      </c>
      <c r="N15">
        <v>789.43</v>
      </c>
      <c r="O15">
        <v>1.02</v>
      </c>
      <c r="P15">
        <v>-1</v>
      </c>
      <c r="Q15">
        <v>-1</v>
      </c>
      <c r="R15">
        <v>0</v>
      </c>
      <c r="S15" s="2">
        <v>6</v>
      </c>
      <c r="T15">
        <v>1</v>
      </c>
      <c r="U15">
        <v>1</v>
      </c>
      <c r="V15">
        <v>3</v>
      </c>
      <c r="W15">
        <v>3</v>
      </c>
    </row>
    <row r="16" spans="1:23">
      <c r="A16" t="s">
        <v>125</v>
      </c>
      <c r="B16">
        <v>89.3</v>
      </c>
      <c r="C16">
        <v>27.2</v>
      </c>
      <c r="D16">
        <v>261</v>
      </c>
      <c r="E16">
        <v>1</v>
      </c>
      <c r="F16">
        <v>70</v>
      </c>
      <c r="G16">
        <v>31</v>
      </c>
      <c r="H16">
        <v>279</v>
      </c>
      <c r="I16">
        <v>1</v>
      </c>
      <c r="J16">
        <v>66</v>
      </c>
      <c r="K16">
        <v>30</v>
      </c>
      <c r="L16">
        <v>9808.9</v>
      </c>
      <c r="M16">
        <v>1773.94</v>
      </c>
      <c r="N16">
        <v>966.55</v>
      </c>
      <c r="O16">
        <v>0.879</v>
      </c>
      <c r="P16">
        <v>15.72</v>
      </c>
      <c r="Q16">
        <v>65758.31</v>
      </c>
      <c r="R16">
        <v>0</v>
      </c>
      <c r="S16" s="2">
        <v>7</v>
      </c>
      <c r="T16">
        <v>1</v>
      </c>
      <c r="U16">
        <v>1</v>
      </c>
      <c r="V16">
        <v>-1</v>
      </c>
      <c r="W16">
        <v>-1</v>
      </c>
    </row>
    <row r="17" spans="1:23">
      <c r="A17" t="s">
        <v>126</v>
      </c>
      <c r="B17">
        <v>92.5</v>
      </c>
      <c r="C17">
        <v>29.3</v>
      </c>
      <c r="D17">
        <v>260</v>
      </c>
      <c r="E17">
        <v>1</v>
      </c>
      <c r="F17">
        <v>71</v>
      </c>
      <c r="G17">
        <v>29</v>
      </c>
      <c r="H17">
        <v>277</v>
      </c>
      <c r="I17">
        <v>1</v>
      </c>
      <c r="J17">
        <v>67</v>
      </c>
      <c r="K17">
        <v>28</v>
      </c>
      <c r="L17">
        <v>11476.57</v>
      </c>
      <c r="M17">
        <v>2368.64</v>
      </c>
      <c r="N17">
        <v>1152.98</v>
      </c>
      <c r="O17">
        <v>0.88800000000000001</v>
      </c>
      <c r="P17">
        <v>14.05</v>
      </c>
      <c r="Q17">
        <v>36048.379999999997</v>
      </c>
      <c r="R17">
        <f>9*1080</f>
        <v>9720</v>
      </c>
      <c r="S17" s="2">
        <v>6</v>
      </c>
      <c r="T17">
        <v>1</v>
      </c>
      <c r="U17">
        <v>0</v>
      </c>
      <c r="V17">
        <v>2</v>
      </c>
      <c r="W17">
        <v>1</v>
      </c>
    </row>
    <row r="18" spans="1:23">
      <c r="A18" t="s">
        <v>127</v>
      </c>
      <c r="B18">
        <v>91.4</v>
      </c>
      <c r="C18">
        <v>33.9</v>
      </c>
      <c r="D18">
        <v>256</v>
      </c>
      <c r="E18">
        <v>0</v>
      </c>
      <c r="F18">
        <v>67</v>
      </c>
      <c r="G18">
        <v>26</v>
      </c>
      <c r="H18">
        <v>272</v>
      </c>
      <c r="I18">
        <v>0</v>
      </c>
      <c r="J18">
        <v>61</v>
      </c>
      <c r="K18">
        <v>23</v>
      </c>
      <c r="L18">
        <v>10693.54</v>
      </c>
      <c r="M18">
        <v>2535.1799999999998</v>
      </c>
      <c r="N18">
        <v>1130.55</v>
      </c>
      <c r="O18">
        <v>0.86499999999999999</v>
      </c>
      <c r="P18">
        <v>12.68</v>
      </c>
      <c r="Q18">
        <v>38007.33</v>
      </c>
      <c r="R18">
        <f>465+8*1116</f>
        <v>9393</v>
      </c>
      <c r="S18" s="2">
        <v>7</v>
      </c>
      <c r="T18">
        <v>1</v>
      </c>
      <c r="U18">
        <v>0</v>
      </c>
      <c r="V18">
        <v>2</v>
      </c>
      <c r="W18">
        <v>1</v>
      </c>
    </row>
    <row r="19" spans="1:23">
      <c r="A19" t="s">
        <v>128</v>
      </c>
      <c r="B19">
        <v>87.2</v>
      </c>
      <c r="C19">
        <v>25</v>
      </c>
      <c r="D19">
        <v>258</v>
      </c>
      <c r="E19">
        <v>0</v>
      </c>
      <c r="F19">
        <v>68</v>
      </c>
      <c r="G19">
        <v>29</v>
      </c>
      <c r="H19">
        <v>269</v>
      </c>
      <c r="I19">
        <v>0</v>
      </c>
      <c r="J19">
        <v>57</v>
      </c>
      <c r="K19">
        <v>21</v>
      </c>
      <c r="L19">
        <v>10203.450000000001</v>
      </c>
      <c r="M19">
        <v>1755.14</v>
      </c>
      <c r="N19">
        <v>834.13</v>
      </c>
      <c r="O19">
        <v>0.85699999999999998</v>
      </c>
      <c r="P19">
        <v>15.52</v>
      </c>
      <c r="Q19">
        <v>42458.13</v>
      </c>
      <c r="R19">
        <f>9*1062</f>
        <v>9558</v>
      </c>
      <c r="S19" s="2">
        <v>6</v>
      </c>
      <c r="T19">
        <v>1</v>
      </c>
      <c r="U19">
        <v>1</v>
      </c>
      <c r="V19">
        <v>3</v>
      </c>
      <c r="W19">
        <v>3</v>
      </c>
    </row>
    <row r="20" spans="1:23">
      <c r="A20" t="s">
        <v>129</v>
      </c>
      <c r="B20">
        <v>85.9</v>
      </c>
      <c r="C20">
        <v>24.9</v>
      </c>
      <c r="D20">
        <v>257</v>
      </c>
      <c r="E20">
        <v>0</v>
      </c>
      <c r="F20">
        <v>66</v>
      </c>
      <c r="G20">
        <v>27</v>
      </c>
      <c r="H20">
        <v>266</v>
      </c>
      <c r="I20">
        <v>0</v>
      </c>
      <c r="J20">
        <v>53</v>
      </c>
      <c r="K20">
        <v>19</v>
      </c>
      <c r="L20">
        <v>10539.57</v>
      </c>
      <c r="M20">
        <v>1891.77</v>
      </c>
      <c r="N20">
        <v>872.75</v>
      </c>
      <c r="O20">
        <v>0.89700000000000002</v>
      </c>
      <c r="P20">
        <v>18.07</v>
      </c>
      <c r="Q20">
        <v>38368.879999999997</v>
      </c>
      <c r="R20">
        <f>9*1062</f>
        <v>9558</v>
      </c>
      <c r="S20" s="2">
        <v>7</v>
      </c>
      <c r="T20">
        <v>2</v>
      </c>
      <c r="U20">
        <v>1</v>
      </c>
      <c r="V20">
        <v>3</v>
      </c>
      <c r="W20">
        <v>3</v>
      </c>
    </row>
    <row r="21" spans="1:23">
      <c r="A21" t="s">
        <v>130</v>
      </c>
      <c r="B21">
        <v>93.2</v>
      </c>
      <c r="C21">
        <v>32.5</v>
      </c>
      <c r="D21">
        <v>257</v>
      </c>
      <c r="E21">
        <v>0</v>
      </c>
      <c r="F21">
        <v>66</v>
      </c>
      <c r="G21">
        <v>29</v>
      </c>
      <c r="H21">
        <v>273</v>
      </c>
      <c r="I21">
        <v>1</v>
      </c>
      <c r="J21">
        <v>61</v>
      </c>
      <c r="K21">
        <v>24</v>
      </c>
      <c r="L21">
        <v>10190.879999999999</v>
      </c>
      <c r="M21">
        <v>2279.09</v>
      </c>
      <c r="N21">
        <v>607.53</v>
      </c>
      <c r="O21">
        <v>0.86899999999999999</v>
      </c>
      <c r="P21">
        <v>11.39</v>
      </c>
      <c r="Q21">
        <v>15142.94</v>
      </c>
      <c r="R21">
        <v>0</v>
      </c>
      <c r="S21" s="2">
        <v>6</v>
      </c>
      <c r="T21">
        <v>1</v>
      </c>
      <c r="U21">
        <v>0</v>
      </c>
      <c r="V21">
        <v>3</v>
      </c>
      <c r="W21">
        <v>1</v>
      </c>
    </row>
    <row r="22" spans="1:23">
      <c r="A22" t="s">
        <v>131</v>
      </c>
      <c r="B22">
        <v>90.6</v>
      </c>
      <c r="C22">
        <v>40.9</v>
      </c>
      <c r="D22">
        <v>259</v>
      </c>
      <c r="E22">
        <v>1</v>
      </c>
      <c r="F22">
        <v>67</v>
      </c>
      <c r="G22">
        <v>33</v>
      </c>
      <c r="H22">
        <v>269</v>
      </c>
      <c r="I22">
        <v>0</v>
      </c>
      <c r="J22">
        <v>54</v>
      </c>
      <c r="K22">
        <v>25</v>
      </c>
      <c r="L22">
        <v>11714.11</v>
      </c>
      <c r="M22">
        <v>2475.35</v>
      </c>
      <c r="N22">
        <v>1152.21</v>
      </c>
      <c r="O22">
        <v>1.0760000000000001</v>
      </c>
      <c r="P22">
        <v>14.17</v>
      </c>
      <c r="Q22">
        <v>62276.32</v>
      </c>
      <c r="R22">
        <f>9*1080</f>
        <v>9720</v>
      </c>
      <c r="S22" s="2">
        <v>5</v>
      </c>
      <c r="T22">
        <v>2</v>
      </c>
      <c r="U22">
        <v>2</v>
      </c>
      <c r="V22">
        <v>3</v>
      </c>
      <c r="W22">
        <v>1</v>
      </c>
    </row>
    <row r="23" spans="1:23">
      <c r="A23" t="s">
        <v>132</v>
      </c>
      <c r="B23">
        <v>91.1</v>
      </c>
      <c r="C23">
        <v>44.5</v>
      </c>
      <c r="D23">
        <v>269</v>
      </c>
      <c r="E23">
        <v>1</v>
      </c>
      <c r="F23">
        <v>77</v>
      </c>
      <c r="G23">
        <v>40</v>
      </c>
      <c r="H23">
        <v>284</v>
      </c>
      <c r="I23">
        <v>1</v>
      </c>
      <c r="J23">
        <v>70</v>
      </c>
      <c r="K23">
        <v>35</v>
      </c>
      <c r="L23">
        <v>13060.39</v>
      </c>
      <c r="M23">
        <v>2774.57</v>
      </c>
      <c r="N23">
        <v>711.51</v>
      </c>
      <c r="O23">
        <v>1.099</v>
      </c>
      <c r="P23">
        <v>12.27</v>
      </c>
      <c r="Q23">
        <v>75146.720000000001</v>
      </c>
      <c r="R23">
        <f>425+5*900+3*990</f>
        <v>7895</v>
      </c>
      <c r="S23" s="3">
        <v>6</v>
      </c>
      <c r="T23">
        <v>1</v>
      </c>
      <c r="U23">
        <v>0</v>
      </c>
      <c r="V23">
        <v>3</v>
      </c>
      <c r="W23">
        <v>2</v>
      </c>
    </row>
    <row r="24" spans="1:23">
      <c r="A24" t="s">
        <v>133</v>
      </c>
      <c r="B24">
        <v>91.3</v>
      </c>
      <c r="C24">
        <v>30</v>
      </c>
      <c r="D24">
        <v>259</v>
      </c>
      <c r="E24">
        <v>1</v>
      </c>
      <c r="F24">
        <v>68</v>
      </c>
      <c r="G24">
        <v>28</v>
      </c>
      <c r="H24">
        <v>273</v>
      </c>
      <c r="I24">
        <v>1</v>
      </c>
      <c r="J24">
        <v>60</v>
      </c>
      <c r="K24">
        <v>25</v>
      </c>
      <c r="L24">
        <v>9749.81</v>
      </c>
      <c r="M24">
        <v>2006.81</v>
      </c>
      <c r="N24">
        <v>981.84</v>
      </c>
      <c r="O24">
        <v>0.91800000000000004</v>
      </c>
      <c r="P24">
        <v>17.010000000000002</v>
      </c>
      <c r="Q24">
        <v>84317.37</v>
      </c>
      <c r="R24">
        <f>9*1098</f>
        <v>9882</v>
      </c>
      <c r="S24" s="2">
        <v>6</v>
      </c>
      <c r="T24">
        <v>0</v>
      </c>
      <c r="U24">
        <v>1</v>
      </c>
      <c r="V24">
        <v>3</v>
      </c>
      <c r="W24">
        <v>2</v>
      </c>
    </row>
    <row r="25" spans="1:23">
      <c r="A25" t="s">
        <v>134</v>
      </c>
      <c r="B25">
        <v>93.4</v>
      </c>
      <c r="C25">
        <v>36.799999999999997</v>
      </c>
      <c r="D25">
        <v>260</v>
      </c>
      <c r="E25">
        <v>1</v>
      </c>
      <c r="F25">
        <v>72</v>
      </c>
      <c r="G25">
        <v>30</v>
      </c>
      <c r="H25">
        <v>280</v>
      </c>
      <c r="I25">
        <v>1</v>
      </c>
      <c r="J25">
        <v>69</v>
      </c>
      <c r="K25">
        <v>32</v>
      </c>
      <c r="L25">
        <v>12009.53</v>
      </c>
      <c r="M25">
        <v>2517.73</v>
      </c>
      <c r="N25">
        <v>891.49</v>
      </c>
      <c r="O25">
        <v>1.0089999999999999</v>
      </c>
      <c r="P25">
        <v>15.99</v>
      </c>
      <c r="Q25">
        <v>54535.32</v>
      </c>
      <c r="R25">
        <f>425+6*935+2*1020</f>
        <v>8075</v>
      </c>
      <c r="S25" s="2">
        <v>7</v>
      </c>
      <c r="T25">
        <v>0</v>
      </c>
      <c r="U25">
        <v>1</v>
      </c>
      <c r="V25">
        <v>3</v>
      </c>
      <c r="W25">
        <v>1</v>
      </c>
    </row>
    <row r="26" spans="1:23">
      <c r="A26" t="s">
        <v>135</v>
      </c>
      <c r="B26">
        <v>85.3</v>
      </c>
      <c r="C26">
        <v>22.8</v>
      </c>
      <c r="D26">
        <v>253</v>
      </c>
      <c r="E26">
        <v>0</v>
      </c>
      <c r="F26">
        <v>63</v>
      </c>
      <c r="G26">
        <v>22</v>
      </c>
      <c r="H26">
        <v>266</v>
      </c>
      <c r="I26">
        <v>0</v>
      </c>
      <c r="J26">
        <v>54</v>
      </c>
      <c r="K26">
        <v>18</v>
      </c>
      <c r="L26">
        <v>9571.44</v>
      </c>
      <c r="M26">
        <v>1751.8</v>
      </c>
      <c r="N26">
        <v>1007.2</v>
      </c>
      <c r="O26">
        <v>0.84199999999999997</v>
      </c>
      <c r="P26">
        <v>14.06</v>
      </c>
      <c r="Q26">
        <v>31479.63</v>
      </c>
      <c r="R26">
        <v>0</v>
      </c>
      <c r="S26" s="2">
        <v>6</v>
      </c>
      <c r="T26">
        <v>2</v>
      </c>
      <c r="U26">
        <v>0</v>
      </c>
      <c r="V26">
        <v>3</v>
      </c>
      <c r="W26">
        <v>3</v>
      </c>
    </row>
    <row r="27" spans="1:23">
      <c r="A27" t="s">
        <v>136</v>
      </c>
      <c r="B27">
        <v>90.6</v>
      </c>
      <c r="C27">
        <v>29.9</v>
      </c>
      <c r="D27">
        <v>258</v>
      </c>
      <c r="E27">
        <v>0</v>
      </c>
      <c r="F27">
        <v>67</v>
      </c>
      <c r="G27">
        <v>28</v>
      </c>
      <c r="H27">
        <v>272</v>
      </c>
      <c r="I27">
        <v>0</v>
      </c>
      <c r="J27">
        <v>61</v>
      </c>
      <c r="K27">
        <v>24</v>
      </c>
      <c r="L27">
        <v>8966.68</v>
      </c>
      <c r="M27">
        <v>1881.88</v>
      </c>
      <c r="N27">
        <v>622.65</v>
      </c>
      <c r="O27">
        <v>0.89600000000000002</v>
      </c>
      <c r="P27">
        <v>12.8</v>
      </c>
      <c r="Q27">
        <v>68923.839999999997</v>
      </c>
      <c r="R27">
        <f>522+8*1044</f>
        <v>8874</v>
      </c>
      <c r="S27" s="2">
        <v>7</v>
      </c>
      <c r="T27">
        <v>1</v>
      </c>
      <c r="U27">
        <v>1</v>
      </c>
      <c r="V27">
        <v>3</v>
      </c>
      <c r="W27">
        <v>3</v>
      </c>
    </row>
    <row r="28" spans="1:23">
      <c r="A28" t="s">
        <v>137</v>
      </c>
      <c r="B28">
        <v>94</v>
      </c>
      <c r="C28">
        <v>33.1</v>
      </c>
      <c r="D28">
        <v>261</v>
      </c>
      <c r="E28">
        <v>1</v>
      </c>
      <c r="F28">
        <v>72</v>
      </c>
      <c r="G28">
        <v>29</v>
      </c>
      <c r="H28">
        <v>277</v>
      </c>
      <c r="I28">
        <v>1</v>
      </c>
      <c r="J28">
        <v>68</v>
      </c>
      <c r="K28">
        <v>29</v>
      </c>
      <c r="L28">
        <v>9980.6200000000008</v>
      </c>
      <c r="M28">
        <v>1993.14</v>
      </c>
      <c r="N28">
        <v>907.92</v>
      </c>
      <c r="O28">
        <v>0.81399999999999995</v>
      </c>
      <c r="P28">
        <v>13.37</v>
      </c>
      <c r="Q28">
        <v>10941.68</v>
      </c>
      <c r="R28">
        <f>360+3*720+5*1080</f>
        <v>7920</v>
      </c>
      <c r="S28" s="2">
        <v>7</v>
      </c>
      <c r="T28">
        <v>1</v>
      </c>
      <c r="U28">
        <v>1</v>
      </c>
      <c r="V28">
        <v>2</v>
      </c>
      <c r="W28">
        <v>0</v>
      </c>
    </row>
    <row r="29" spans="1:23">
      <c r="A29" t="s">
        <v>138</v>
      </c>
      <c r="B29">
        <v>91.6</v>
      </c>
      <c r="C29">
        <v>32.5</v>
      </c>
      <c r="D29">
        <v>259</v>
      </c>
      <c r="E29">
        <v>1</v>
      </c>
      <c r="F29">
        <v>70</v>
      </c>
      <c r="G29">
        <v>29</v>
      </c>
      <c r="H29">
        <v>279</v>
      </c>
      <c r="I29">
        <v>1</v>
      </c>
      <c r="J29">
        <v>68</v>
      </c>
      <c r="K29">
        <v>31</v>
      </c>
      <c r="L29">
        <v>10783.95</v>
      </c>
      <c r="M29">
        <v>2707.17</v>
      </c>
      <c r="N29">
        <v>1285.48</v>
      </c>
      <c r="O29">
        <v>0.86799999999999999</v>
      </c>
      <c r="P29">
        <v>13.56</v>
      </c>
      <c r="Q29">
        <v>23943.47</v>
      </c>
      <c r="R29">
        <f>400+8*1032</f>
        <v>8656</v>
      </c>
      <c r="S29" s="2">
        <v>6</v>
      </c>
      <c r="T29">
        <v>1</v>
      </c>
      <c r="U29">
        <v>1</v>
      </c>
      <c r="V29">
        <v>3</v>
      </c>
      <c r="W29">
        <v>0</v>
      </c>
    </row>
    <row r="30" spans="1:23">
      <c r="A30" t="s">
        <v>139</v>
      </c>
      <c r="B30">
        <v>86.9</v>
      </c>
      <c r="C30">
        <v>25.5</v>
      </c>
      <c r="D30">
        <v>259</v>
      </c>
      <c r="E30">
        <v>1</v>
      </c>
      <c r="F30">
        <v>68</v>
      </c>
      <c r="G30">
        <v>29</v>
      </c>
      <c r="H30">
        <v>269</v>
      </c>
      <c r="I30">
        <v>0</v>
      </c>
      <c r="J30">
        <v>56</v>
      </c>
      <c r="K30">
        <v>21</v>
      </c>
      <c r="L30">
        <v>8278.5499999999993</v>
      </c>
      <c r="M30">
        <v>1664.14</v>
      </c>
      <c r="N30">
        <v>552.71</v>
      </c>
      <c r="O30">
        <v>0.98099999999999998</v>
      </c>
      <c r="P30">
        <v>20.309999999999999</v>
      </c>
      <c r="Q30">
        <v>23746</v>
      </c>
      <c r="R30">
        <v>0</v>
      </c>
      <c r="S30" s="2">
        <v>7</v>
      </c>
      <c r="T30">
        <v>1</v>
      </c>
      <c r="U30">
        <v>2</v>
      </c>
      <c r="V30">
        <v>3</v>
      </c>
      <c r="W30">
        <v>0</v>
      </c>
    </row>
    <row r="31" spans="1:23">
      <c r="A31" t="s">
        <v>140</v>
      </c>
      <c r="B31">
        <v>93.3</v>
      </c>
      <c r="C31">
        <v>37.6</v>
      </c>
      <c r="D31">
        <v>263</v>
      </c>
      <c r="E31">
        <v>1</v>
      </c>
      <c r="F31">
        <v>73</v>
      </c>
      <c r="G31">
        <v>33</v>
      </c>
      <c r="H31">
        <v>279</v>
      </c>
      <c r="I31">
        <v>1</v>
      </c>
      <c r="J31">
        <v>70</v>
      </c>
      <c r="K31">
        <v>29</v>
      </c>
      <c r="L31">
        <v>9477.17</v>
      </c>
      <c r="M31">
        <v>2379.6</v>
      </c>
      <c r="N31">
        <v>685.13</v>
      </c>
      <c r="O31">
        <v>0.95799999999999996</v>
      </c>
      <c r="P31">
        <v>11.42</v>
      </c>
      <c r="Q31">
        <v>14799.9</v>
      </c>
      <c r="R31">
        <f>450+5*945+3*990</f>
        <v>8145</v>
      </c>
      <c r="S31" s="3">
        <v>6</v>
      </c>
      <c r="T31">
        <v>0</v>
      </c>
      <c r="U31">
        <v>1</v>
      </c>
      <c r="V31">
        <v>3</v>
      </c>
      <c r="W31">
        <v>0</v>
      </c>
    </row>
    <row r="32" spans="1:23">
      <c r="A32" t="s">
        <v>141</v>
      </c>
      <c r="B32">
        <v>90.3</v>
      </c>
      <c r="C32">
        <v>40.700000000000003</v>
      </c>
      <c r="D32">
        <v>270</v>
      </c>
      <c r="E32">
        <v>1</v>
      </c>
      <c r="F32">
        <v>77</v>
      </c>
      <c r="G32">
        <v>42</v>
      </c>
      <c r="H32">
        <v>281</v>
      </c>
      <c r="I32">
        <v>1</v>
      </c>
      <c r="J32">
        <v>67</v>
      </c>
      <c r="K32">
        <v>33</v>
      </c>
      <c r="L32">
        <v>11265.03</v>
      </c>
      <c r="M32">
        <v>2956.03</v>
      </c>
      <c r="N32">
        <v>711.03</v>
      </c>
      <c r="O32">
        <v>1.087</v>
      </c>
      <c r="P32">
        <v>11.79</v>
      </c>
      <c r="Q32">
        <v>116530.03</v>
      </c>
      <c r="R32">
        <v>0</v>
      </c>
      <c r="S32" s="3">
        <v>6</v>
      </c>
      <c r="T32">
        <v>0</v>
      </c>
      <c r="U32">
        <v>1</v>
      </c>
      <c r="V32">
        <v>3</v>
      </c>
      <c r="W32">
        <v>2</v>
      </c>
    </row>
    <row r="33" spans="1:23">
      <c r="A33" t="s">
        <v>142</v>
      </c>
      <c r="B33">
        <v>86.5</v>
      </c>
      <c r="C33">
        <v>28.1</v>
      </c>
      <c r="D33">
        <v>248</v>
      </c>
      <c r="E33">
        <v>0</v>
      </c>
      <c r="F33">
        <v>57</v>
      </c>
      <c r="G33">
        <v>18</v>
      </c>
      <c r="H33">
        <v>259</v>
      </c>
      <c r="I33">
        <v>0</v>
      </c>
      <c r="J33">
        <v>45</v>
      </c>
      <c r="K33">
        <v>13</v>
      </c>
      <c r="L33">
        <v>12505.23</v>
      </c>
      <c r="M33">
        <v>1946.86</v>
      </c>
      <c r="N33">
        <v>1290.6600000000001</v>
      </c>
      <c r="O33">
        <v>0.90200000000000002</v>
      </c>
      <c r="P33">
        <v>14.68</v>
      </c>
      <c r="Q33">
        <v>21576.65</v>
      </c>
      <c r="R33">
        <f>450+6*990+2*1080</f>
        <v>8550</v>
      </c>
      <c r="S33" s="2">
        <v>5</v>
      </c>
      <c r="T33">
        <v>1</v>
      </c>
      <c r="U33">
        <v>2</v>
      </c>
      <c r="V33">
        <v>3</v>
      </c>
      <c r="W33">
        <v>3</v>
      </c>
    </row>
    <row r="34" spans="1:23">
      <c r="A34" t="s">
        <v>143</v>
      </c>
      <c r="B34">
        <v>87.2</v>
      </c>
      <c r="C34">
        <v>37.5</v>
      </c>
      <c r="D34">
        <v>262</v>
      </c>
      <c r="E34">
        <v>1</v>
      </c>
      <c r="F34">
        <v>70</v>
      </c>
      <c r="G34">
        <v>32</v>
      </c>
      <c r="H34">
        <v>274</v>
      </c>
      <c r="I34">
        <v>1</v>
      </c>
      <c r="J34">
        <v>60</v>
      </c>
      <c r="K34">
        <v>28</v>
      </c>
      <c r="L34">
        <v>15898.78</v>
      </c>
      <c r="M34">
        <v>3817.24</v>
      </c>
      <c r="N34">
        <v>709.63</v>
      </c>
      <c r="O34">
        <v>1.149</v>
      </c>
      <c r="P34">
        <v>12.21</v>
      </c>
      <c r="Q34">
        <v>213537.44</v>
      </c>
      <c r="R34">
        <f>450+6*900+2*990</f>
        <v>7830</v>
      </c>
      <c r="S34" s="2">
        <v>6</v>
      </c>
      <c r="T34">
        <v>0</v>
      </c>
      <c r="U34">
        <v>1</v>
      </c>
      <c r="V34">
        <v>3</v>
      </c>
      <c r="W34">
        <v>3</v>
      </c>
    </row>
    <row r="35" spans="1:23">
      <c r="A35" t="s">
        <v>144</v>
      </c>
      <c r="B35">
        <v>88.5</v>
      </c>
      <c r="C35">
        <v>32</v>
      </c>
      <c r="D35">
        <v>256</v>
      </c>
      <c r="E35">
        <v>0</v>
      </c>
      <c r="F35">
        <v>66</v>
      </c>
      <c r="G35">
        <v>26</v>
      </c>
      <c r="H35">
        <v>274</v>
      </c>
      <c r="I35">
        <v>1</v>
      </c>
      <c r="J35">
        <v>61</v>
      </c>
      <c r="K35">
        <v>25</v>
      </c>
      <c r="L35">
        <v>9293.9500000000007</v>
      </c>
      <c r="M35">
        <v>1621.93</v>
      </c>
      <c r="N35">
        <v>1006.7</v>
      </c>
      <c r="O35">
        <v>0.93</v>
      </c>
      <c r="P35">
        <v>14.98</v>
      </c>
      <c r="Q35">
        <v>101057.02</v>
      </c>
      <c r="R35">
        <f>9*1025</f>
        <v>9225</v>
      </c>
      <c r="S35" s="2">
        <v>7</v>
      </c>
      <c r="T35">
        <v>2</v>
      </c>
      <c r="U35">
        <v>1</v>
      </c>
      <c r="V35">
        <v>3</v>
      </c>
      <c r="W35">
        <v>3</v>
      </c>
    </row>
    <row r="36" spans="1:23">
      <c r="A36" t="s">
        <v>145</v>
      </c>
      <c r="B36">
        <v>93.1</v>
      </c>
      <c r="C36">
        <v>30.7</v>
      </c>
      <c r="D36">
        <v>258</v>
      </c>
      <c r="E36">
        <v>0</v>
      </c>
      <c r="F36">
        <v>69</v>
      </c>
      <c r="G36">
        <v>27</v>
      </c>
      <c r="H36">
        <v>278</v>
      </c>
      <c r="I36">
        <v>1</v>
      </c>
      <c r="J36">
        <v>69</v>
      </c>
      <c r="K36">
        <v>28</v>
      </c>
      <c r="L36">
        <v>13688.98</v>
      </c>
      <c r="M36">
        <v>2616.38</v>
      </c>
      <c r="N36">
        <v>1585.49</v>
      </c>
      <c r="O36">
        <v>0.89200000000000002</v>
      </c>
      <c r="P36">
        <v>12.14</v>
      </c>
      <c r="Q36">
        <v>9472.82</v>
      </c>
      <c r="R36">
        <f>481+5*962+3*1050</f>
        <v>8441</v>
      </c>
      <c r="S36" s="2">
        <v>7</v>
      </c>
      <c r="T36">
        <v>1</v>
      </c>
      <c r="U36">
        <v>1</v>
      </c>
      <c r="V36">
        <v>3</v>
      </c>
      <c r="W36">
        <v>3</v>
      </c>
    </row>
    <row r="37" spans="1:23">
      <c r="A37" t="s">
        <v>146</v>
      </c>
      <c r="B37">
        <v>90.8</v>
      </c>
      <c r="C37">
        <v>28.9</v>
      </c>
      <c r="D37">
        <v>262</v>
      </c>
      <c r="E37">
        <v>1</v>
      </c>
      <c r="F37">
        <v>71</v>
      </c>
      <c r="G37">
        <v>33</v>
      </c>
      <c r="H37">
        <v>276</v>
      </c>
      <c r="I37">
        <v>1</v>
      </c>
      <c r="J37">
        <v>64</v>
      </c>
      <c r="K37">
        <v>29</v>
      </c>
      <c r="L37">
        <v>10273.92</v>
      </c>
      <c r="M37">
        <v>2331.34</v>
      </c>
      <c r="N37">
        <v>691.6</v>
      </c>
      <c r="O37">
        <v>0.90900000000000003</v>
      </c>
      <c r="P37">
        <v>16.27</v>
      </c>
      <c r="Q37">
        <v>101147.65</v>
      </c>
      <c r="R37">
        <f>450+6*910+2*1001</f>
        <v>7912</v>
      </c>
      <c r="S37" s="2">
        <v>6</v>
      </c>
      <c r="T37">
        <v>1</v>
      </c>
      <c r="U37">
        <v>2</v>
      </c>
      <c r="V37">
        <v>2</v>
      </c>
      <c r="W37">
        <v>3</v>
      </c>
    </row>
    <row r="38" spans="1:23">
      <c r="A38" t="s">
        <v>147</v>
      </c>
      <c r="B38">
        <v>88.6</v>
      </c>
      <c r="C38">
        <v>26.1</v>
      </c>
      <c r="D38">
        <v>251</v>
      </c>
      <c r="E38">
        <v>0</v>
      </c>
      <c r="F38">
        <v>62</v>
      </c>
      <c r="G38">
        <v>21</v>
      </c>
      <c r="H38">
        <v>264</v>
      </c>
      <c r="I38">
        <v>0</v>
      </c>
      <c r="J38">
        <v>52</v>
      </c>
      <c r="K38">
        <v>16</v>
      </c>
      <c r="L38">
        <v>8558.93</v>
      </c>
      <c r="M38">
        <v>1760.28</v>
      </c>
      <c r="N38">
        <v>966.84</v>
      </c>
      <c r="O38">
        <v>0.87</v>
      </c>
      <c r="P38">
        <v>16.100000000000001</v>
      </c>
      <c r="Q38">
        <v>43110.11</v>
      </c>
      <c r="R38">
        <f>9*1080</f>
        <v>9720</v>
      </c>
      <c r="S38" s="2">
        <v>5</v>
      </c>
      <c r="T38">
        <v>2</v>
      </c>
      <c r="U38">
        <v>2</v>
      </c>
      <c r="V38">
        <v>-1</v>
      </c>
      <c r="W38">
        <v>-1</v>
      </c>
    </row>
    <row r="39" spans="1:23">
      <c r="A39" t="s">
        <v>148</v>
      </c>
      <c r="B39">
        <v>91.1</v>
      </c>
      <c r="C39">
        <v>34.4</v>
      </c>
      <c r="D39">
        <v>257</v>
      </c>
      <c r="E39">
        <v>0</v>
      </c>
      <c r="F39">
        <v>67</v>
      </c>
      <c r="G39">
        <v>28</v>
      </c>
      <c r="H39">
        <v>270</v>
      </c>
      <c r="I39">
        <v>0</v>
      </c>
      <c r="J39">
        <v>57</v>
      </c>
      <c r="K39">
        <v>22</v>
      </c>
      <c r="L39">
        <v>13497.03</v>
      </c>
      <c r="M39">
        <v>2336.6799999999998</v>
      </c>
      <c r="N39">
        <v>1221.96</v>
      </c>
      <c r="O39">
        <v>0.98599999999999999</v>
      </c>
      <c r="P39">
        <v>18.22</v>
      </c>
      <c r="Q39">
        <v>30785.93</v>
      </c>
      <c r="R39">
        <f>450+8*900</f>
        <v>7650</v>
      </c>
      <c r="S39" s="2">
        <v>6</v>
      </c>
      <c r="T39">
        <v>1</v>
      </c>
      <c r="U39">
        <v>1</v>
      </c>
      <c r="V39">
        <v>2</v>
      </c>
      <c r="W39">
        <v>2</v>
      </c>
    </row>
    <row r="40" spans="1:23">
      <c r="A40" t="s">
        <v>149</v>
      </c>
      <c r="B40">
        <v>91</v>
      </c>
      <c r="C40">
        <v>32.299999999999997</v>
      </c>
      <c r="D40">
        <v>259</v>
      </c>
      <c r="E40">
        <v>1</v>
      </c>
      <c r="F40">
        <v>68</v>
      </c>
      <c r="G40">
        <v>31</v>
      </c>
      <c r="H40">
        <v>274</v>
      </c>
      <c r="I40">
        <v>1</v>
      </c>
      <c r="J40">
        <v>62</v>
      </c>
      <c r="K40">
        <v>27</v>
      </c>
      <c r="L40">
        <v>11337.2</v>
      </c>
      <c r="M40">
        <v>2539.5700000000002</v>
      </c>
      <c r="N40">
        <v>893.39</v>
      </c>
      <c r="O40">
        <v>0.94699999999999995</v>
      </c>
      <c r="P40">
        <v>13.63</v>
      </c>
      <c r="Q40">
        <v>125028.25</v>
      </c>
      <c r="R40">
        <f>450+6*900+2*990</f>
        <v>7830</v>
      </c>
      <c r="S40" s="2">
        <v>6</v>
      </c>
      <c r="T40">
        <v>0</v>
      </c>
      <c r="U40">
        <v>2</v>
      </c>
      <c r="V40">
        <v>3</v>
      </c>
      <c r="W40">
        <v>2</v>
      </c>
    </row>
    <row r="41" spans="1:23">
      <c r="A41" t="s">
        <v>150</v>
      </c>
      <c r="B41">
        <v>89.2</v>
      </c>
      <c r="C41">
        <v>35</v>
      </c>
      <c r="D41">
        <v>259</v>
      </c>
      <c r="E41">
        <v>1</v>
      </c>
      <c r="F41">
        <v>68</v>
      </c>
      <c r="G41">
        <v>31</v>
      </c>
      <c r="H41">
        <v>270</v>
      </c>
      <c r="I41">
        <v>0</v>
      </c>
      <c r="J41">
        <v>58</v>
      </c>
      <c r="K41">
        <v>24</v>
      </c>
      <c r="L41">
        <v>11947.39</v>
      </c>
      <c r="M41">
        <v>2582.8000000000002</v>
      </c>
      <c r="N41">
        <v>662.86</v>
      </c>
      <c r="O41">
        <v>0.99399999999999999</v>
      </c>
      <c r="P41">
        <v>13.05</v>
      </c>
      <c r="Q41">
        <v>10669.04</v>
      </c>
      <c r="R41">
        <f>9*1080</f>
        <v>9720</v>
      </c>
      <c r="S41" s="2">
        <v>5</v>
      </c>
      <c r="T41">
        <v>2</v>
      </c>
      <c r="U41">
        <v>2</v>
      </c>
      <c r="V41">
        <v>3</v>
      </c>
      <c r="W41">
        <v>3</v>
      </c>
    </row>
    <row r="42" spans="1:23">
      <c r="A42" t="s">
        <v>151</v>
      </c>
      <c r="B42">
        <v>88.3</v>
      </c>
      <c r="C42">
        <v>29</v>
      </c>
      <c r="D42">
        <v>254</v>
      </c>
      <c r="E42">
        <v>0</v>
      </c>
      <c r="F42">
        <v>63</v>
      </c>
      <c r="G42">
        <v>27</v>
      </c>
      <c r="H42">
        <v>269</v>
      </c>
      <c r="I42">
        <v>0</v>
      </c>
      <c r="J42">
        <v>56</v>
      </c>
      <c r="K42">
        <v>22</v>
      </c>
      <c r="L42">
        <v>9586.7900000000009</v>
      </c>
      <c r="M42">
        <v>1988.59</v>
      </c>
      <c r="N42">
        <v>898.62</v>
      </c>
      <c r="O42">
        <v>0.88</v>
      </c>
      <c r="P42">
        <v>14.28</v>
      </c>
      <c r="Q42">
        <v>53702.97</v>
      </c>
      <c r="R42">
        <v>0</v>
      </c>
      <c r="S42" s="2">
        <v>5</v>
      </c>
      <c r="T42">
        <v>2</v>
      </c>
      <c r="U42">
        <v>2</v>
      </c>
      <c r="V42">
        <v>2</v>
      </c>
      <c r="W42">
        <v>1</v>
      </c>
    </row>
    <row r="43" spans="1:23">
      <c r="A43" t="s">
        <v>152</v>
      </c>
      <c r="B43">
        <v>92.2</v>
      </c>
      <c r="C43">
        <v>29.3</v>
      </c>
      <c r="D43">
        <v>262</v>
      </c>
      <c r="E43">
        <v>1</v>
      </c>
      <c r="F43">
        <v>73</v>
      </c>
      <c r="G43">
        <v>31</v>
      </c>
      <c r="H43">
        <v>281</v>
      </c>
      <c r="I43">
        <v>1</v>
      </c>
      <c r="J43">
        <v>72</v>
      </c>
      <c r="K43">
        <v>32</v>
      </c>
      <c r="L43">
        <v>9656.2999999999993</v>
      </c>
      <c r="M43">
        <v>1994.54</v>
      </c>
      <c r="N43">
        <v>847.65</v>
      </c>
      <c r="O43">
        <v>0.83199999999999996</v>
      </c>
      <c r="P43">
        <v>13.93</v>
      </c>
      <c r="Q43">
        <v>10020.18</v>
      </c>
      <c r="R43">
        <f>438+5*875+3*968</f>
        <v>7717</v>
      </c>
      <c r="S43" s="2">
        <v>5</v>
      </c>
      <c r="T43">
        <v>1</v>
      </c>
      <c r="U43">
        <v>2</v>
      </c>
      <c r="V43">
        <v>3</v>
      </c>
      <c r="W43">
        <v>1</v>
      </c>
    </row>
    <row r="44" spans="1:23">
      <c r="A44" t="s">
        <v>153</v>
      </c>
      <c r="B44">
        <v>88.2</v>
      </c>
      <c r="C44">
        <v>28.2</v>
      </c>
      <c r="D44">
        <v>258</v>
      </c>
      <c r="E44">
        <v>0</v>
      </c>
      <c r="F44">
        <v>67</v>
      </c>
      <c r="G44">
        <v>28</v>
      </c>
      <c r="H44">
        <v>272</v>
      </c>
      <c r="I44">
        <v>0</v>
      </c>
      <c r="J44">
        <v>60</v>
      </c>
      <c r="K44">
        <v>25</v>
      </c>
      <c r="L44">
        <v>8062.08</v>
      </c>
      <c r="M44">
        <v>1550.68</v>
      </c>
      <c r="N44">
        <v>569.46</v>
      </c>
      <c r="O44">
        <v>0.9</v>
      </c>
      <c r="P44">
        <v>15.24</v>
      </c>
      <c r="Q44">
        <v>64667.05</v>
      </c>
      <c r="R44">
        <v>0</v>
      </c>
      <c r="S44" s="2">
        <v>6</v>
      </c>
      <c r="T44">
        <v>2</v>
      </c>
      <c r="U44">
        <v>2</v>
      </c>
      <c r="V44">
        <v>3</v>
      </c>
      <c r="W44">
        <v>1</v>
      </c>
    </row>
    <row r="45" spans="1:23">
      <c r="A45" t="s">
        <v>154</v>
      </c>
      <c r="B45">
        <v>84.4</v>
      </c>
      <c r="C45">
        <v>30.7</v>
      </c>
      <c r="D45">
        <v>255</v>
      </c>
      <c r="E45">
        <v>0</v>
      </c>
      <c r="F45">
        <v>66</v>
      </c>
      <c r="G45">
        <v>23</v>
      </c>
      <c r="H45">
        <v>273</v>
      </c>
      <c r="I45">
        <v>1</v>
      </c>
      <c r="J45">
        <v>61</v>
      </c>
      <c r="K45">
        <v>24</v>
      </c>
      <c r="L45">
        <v>9579.43</v>
      </c>
      <c r="M45">
        <v>2217.65</v>
      </c>
      <c r="N45">
        <v>1082.45</v>
      </c>
      <c r="O45">
        <v>0.98799999999999999</v>
      </c>
      <c r="P45">
        <v>14.49</v>
      </c>
      <c r="Q45">
        <v>370718.5</v>
      </c>
      <c r="R45">
        <f>9*1260</f>
        <v>11340</v>
      </c>
      <c r="S45" s="2">
        <v>6</v>
      </c>
      <c r="T45">
        <v>1</v>
      </c>
      <c r="U45">
        <v>1</v>
      </c>
      <c r="V45">
        <v>3</v>
      </c>
      <c r="W45">
        <v>3</v>
      </c>
    </row>
    <row r="46" spans="1:23">
      <c r="A46" t="s">
        <v>155</v>
      </c>
      <c r="B46">
        <v>93</v>
      </c>
      <c r="C46">
        <v>34.700000000000003</v>
      </c>
      <c r="D46">
        <v>265</v>
      </c>
      <c r="E46">
        <v>1</v>
      </c>
      <c r="F46">
        <v>75</v>
      </c>
      <c r="G46">
        <v>36</v>
      </c>
      <c r="H46">
        <v>282</v>
      </c>
      <c r="I46">
        <v>1</v>
      </c>
      <c r="J46">
        <v>70</v>
      </c>
      <c r="K46">
        <v>35</v>
      </c>
      <c r="L46">
        <v>10539.11</v>
      </c>
      <c r="M46">
        <v>1919.88</v>
      </c>
      <c r="N46">
        <v>1718.27</v>
      </c>
      <c r="O46">
        <v>0.91100000000000003</v>
      </c>
      <c r="P46">
        <v>-1</v>
      </c>
      <c r="Q46">
        <v>-1</v>
      </c>
      <c r="R46">
        <f>9*990</f>
        <v>8910</v>
      </c>
      <c r="S46" s="2">
        <v>6</v>
      </c>
      <c r="T46">
        <v>1</v>
      </c>
      <c r="U46">
        <v>1</v>
      </c>
      <c r="V46">
        <v>3</v>
      </c>
      <c r="W46">
        <v>2</v>
      </c>
    </row>
    <row r="47" spans="1:23">
      <c r="A47" t="s">
        <v>156</v>
      </c>
      <c r="B47">
        <v>93.5</v>
      </c>
      <c r="C47">
        <v>39.700000000000003</v>
      </c>
      <c r="D47">
        <v>264</v>
      </c>
      <c r="E47">
        <v>1</v>
      </c>
      <c r="F47">
        <v>73</v>
      </c>
      <c r="G47">
        <v>34</v>
      </c>
      <c r="H47">
        <v>276</v>
      </c>
      <c r="I47">
        <v>1</v>
      </c>
      <c r="J47">
        <v>66</v>
      </c>
      <c r="K47">
        <v>27</v>
      </c>
      <c r="L47">
        <v>13678.43</v>
      </c>
      <c r="M47">
        <v>2943.96</v>
      </c>
      <c r="N47">
        <v>1284.6199999999999</v>
      </c>
      <c r="O47">
        <v>0.88700000000000001</v>
      </c>
      <c r="P47">
        <v>10.31</v>
      </c>
      <c r="Q47">
        <v>7989.43</v>
      </c>
      <c r="R47">
        <v>0</v>
      </c>
      <c r="S47" s="2">
        <v>6</v>
      </c>
      <c r="T47">
        <v>1</v>
      </c>
      <c r="U47">
        <v>0</v>
      </c>
      <c r="V47">
        <v>3</v>
      </c>
      <c r="W47">
        <v>0</v>
      </c>
    </row>
    <row r="48" spans="1:23">
      <c r="A48" t="s">
        <v>157</v>
      </c>
      <c r="B48">
        <v>90.3</v>
      </c>
      <c r="C48">
        <v>39.5</v>
      </c>
      <c r="D48">
        <v>260</v>
      </c>
      <c r="E48">
        <v>1</v>
      </c>
      <c r="F48">
        <v>69</v>
      </c>
      <c r="G48">
        <v>31</v>
      </c>
      <c r="H48">
        <v>279</v>
      </c>
      <c r="I48">
        <v>1</v>
      </c>
      <c r="J48">
        <v>65</v>
      </c>
      <c r="K48">
        <v>31</v>
      </c>
      <c r="L48">
        <v>10500.88</v>
      </c>
      <c r="M48">
        <v>2209.63</v>
      </c>
      <c r="N48">
        <v>1019.72</v>
      </c>
      <c r="O48">
        <v>1.0329999999999999</v>
      </c>
      <c r="P48">
        <v>14.38</v>
      </c>
      <c r="Q48">
        <v>87049.37</v>
      </c>
      <c r="R48">
        <f>540+8*990</f>
        <v>8460</v>
      </c>
      <c r="S48" s="2">
        <v>5</v>
      </c>
      <c r="T48">
        <v>2</v>
      </c>
      <c r="U48">
        <v>2</v>
      </c>
      <c r="V48">
        <v>3</v>
      </c>
      <c r="W48">
        <v>1</v>
      </c>
    </row>
    <row r="49" spans="1:23">
      <c r="A49" t="s">
        <v>158</v>
      </c>
      <c r="B49">
        <v>91.7</v>
      </c>
      <c r="C49">
        <v>36.700000000000003</v>
      </c>
      <c r="D49">
        <v>262</v>
      </c>
      <c r="E49">
        <v>1</v>
      </c>
      <c r="F49">
        <v>71</v>
      </c>
      <c r="G49">
        <v>32</v>
      </c>
      <c r="H49">
        <v>276</v>
      </c>
      <c r="I49">
        <v>1</v>
      </c>
      <c r="J49">
        <v>64</v>
      </c>
      <c r="K49">
        <v>28</v>
      </c>
      <c r="L49">
        <v>11963.74</v>
      </c>
      <c r="M49">
        <v>2649.16</v>
      </c>
      <c r="N49">
        <v>994.14</v>
      </c>
      <c r="O49">
        <v>1.1000000000000001</v>
      </c>
      <c r="P49">
        <v>17.59</v>
      </c>
      <c r="Q49">
        <v>61810.07</v>
      </c>
      <c r="R49">
        <f>450+8*1000</f>
        <v>8450</v>
      </c>
      <c r="S49" s="2">
        <v>8</v>
      </c>
      <c r="T49">
        <v>2</v>
      </c>
      <c r="U49">
        <v>1</v>
      </c>
      <c r="V49">
        <v>3</v>
      </c>
      <c r="W49">
        <v>2</v>
      </c>
    </row>
    <row r="50" spans="1:23">
      <c r="A50" t="s">
        <v>159</v>
      </c>
      <c r="B50">
        <v>87.6</v>
      </c>
      <c r="C50">
        <v>21.3</v>
      </c>
      <c r="D50">
        <v>249</v>
      </c>
      <c r="E50">
        <v>0</v>
      </c>
      <c r="F50">
        <v>60</v>
      </c>
      <c r="G50">
        <v>22</v>
      </c>
      <c r="H50">
        <v>260</v>
      </c>
      <c r="I50">
        <v>0</v>
      </c>
      <c r="J50">
        <v>48</v>
      </c>
      <c r="K50">
        <v>15</v>
      </c>
      <c r="L50">
        <v>10313.200000000001</v>
      </c>
      <c r="M50">
        <v>1878.02</v>
      </c>
      <c r="N50">
        <v>981.02</v>
      </c>
      <c r="O50">
        <v>0.80400000000000005</v>
      </c>
      <c r="P50">
        <v>13.63</v>
      </c>
      <c r="Q50">
        <v>18629.990000000002</v>
      </c>
      <c r="R50">
        <v>0</v>
      </c>
      <c r="S50" s="2">
        <v>6</v>
      </c>
      <c r="T50">
        <v>2</v>
      </c>
      <c r="U50">
        <v>2</v>
      </c>
      <c r="V50">
        <v>3</v>
      </c>
      <c r="W50">
        <v>3</v>
      </c>
    </row>
    <row r="51" spans="1:23">
      <c r="A51" t="s">
        <v>160</v>
      </c>
      <c r="B51">
        <v>92.6</v>
      </c>
      <c r="C51">
        <v>30.8</v>
      </c>
      <c r="D51">
        <v>262</v>
      </c>
      <c r="E51">
        <v>1</v>
      </c>
      <c r="F51">
        <v>72</v>
      </c>
      <c r="G51">
        <v>32</v>
      </c>
      <c r="H51">
        <v>281</v>
      </c>
      <c r="I51">
        <v>1</v>
      </c>
      <c r="J51">
        <v>70</v>
      </c>
      <c r="K51">
        <v>33</v>
      </c>
      <c r="L51">
        <v>10340.48</v>
      </c>
      <c r="M51">
        <v>2185.96</v>
      </c>
      <c r="N51">
        <v>1019.72</v>
      </c>
      <c r="O51">
        <v>0.91100000000000003</v>
      </c>
      <c r="P51">
        <v>13.81</v>
      </c>
      <c r="Q51">
        <v>60091.66</v>
      </c>
      <c r="R51">
        <f>437+6*1050+2*1137</f>
        <v>9011</v>
      </c>
      <c r="S51" s="2">
        <v>6</v>
      </c>
      <c r="T51">
        <v>1</v>
      </c>
      <c r="U51">
        <v>1</v>
      </c>
      <c r="V51">
        <v>3</v>
      </c>
      <c r="W51">
        <v>2</v>
      </c>
    </row>
    <row r="52" spans="1:23" ht="15.75" thickBot="1">
      <c r="A52" t="s">
        <v>161</v>
      </c>
      <c r="B52">
        <v>93.6</v>
      </c>
      <c r="C52">
        <v>28.2</v>
      </c>
      <c r="D52">
        <v>261</v>
      </c>
      <c r="E52">
        <v>1</v>
      </c>
      <c r="F52">
        <v>71</v>
      </c>
      <c r="G52">
        <v>30</v>
      </c>
      <c r="H52">
        <v>281</v>
      </c>
      <c r="I52">
        <v>1</v>
      </c>
      <c r="J52">
        <v>72</v>
      </c>
      <c r="K52">
        <v>31</v>
      </c>
      <c r="L52">
        <v>17174.830000000002</v>
      </c>
      <c r="M52">
        <v>3192.67</v>
      </c>
      <c r="N52">
        <v>1664.52</v>
      </c>
      <c r="O52">
        <v>0.84799999999999998</v>
      </c>
      <c r="P52">
        <v>12.33</v>
      </c>
      <c r="Q52">
        <v>7521.73</v>
      </c>
      <c r="R52">
        <f>450+5*900+3*1050</f>
        <v>8100</v>
      </c>
      <c r="S52" s="4">
        <v>7</v>
      </c>
      <c r="T52">
        <v>1</v>
      </c>
      <c r="U52">
        <v>0</v>
      </c>
      <c r="V52">
        <v>0</v>
      </c>
      <c r="W5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D20F-12ED-47B7-8E80-05A1A3F16B88}">
  <dimension ref="A1:AD51"/>
  <sheetViews>
    <sheetView workbookViewId="0">
      <pane xSplit="1" ySplit="1" topLeftCell="B2" activePane="bottomRight" state="frozen"/>
      <selection pane="bottomRight" activeCell="F62" sqref="F62"/>
      <selection pane="bottomLeft" activeCell="A2" sqref="A2"/>
      <selection pane="topRight" activeCell="B1" sqref="B1"/>
    </sheetView>
  </sheetViews>
  <sheetFormatPr defaultRowHeight="15"/>
  <cols>
    <col min="1" max="1" width="15.28515625" bestFit="1" customWidth="1"/>
    <col min="2" max="2" width="9.140625" customWidth="1"/>
    <col min="3" max="3" width="9.28515625" customWidth="1"/>
    <col min="4" max="4" width="11.28515625" bestFit="1" customWidth="1"/>
    <col min="5" max="5" width="17.5703125" bestFit="1" customWidth="1"/>
    <col min="6" max="6" width="16.85546875" bestFit="1" customWidth="1"/>
    <col min="7" max="7" width="16.140625" bestFit="1" customWidth="1"/>
    <col min="8" max="8" width="11.85546875" bestFit="1" customWidth="1"/>
    <col min="9" max="9" width="18.140625" bestFit="1" customWidth="1"/>
    <col min="10" max="10" width="17.42578125" bestFit="1" customWidth="1"/>
    <col min="11" max="11" width="16.7109375" bestFit="1" customWidth="1"/>
    <col min="12" max="12" width="16.42578125" customWidth="1"/>
    <col min="13" max="13" width="14.28515625" customWidth="1"/>
    <col min="14" max="14" width="17.5703125" customWidth="1"/>
    <col min="15" max="15" width="19.140625" customWidth="1"/>
    <col min="16" max="16" width="14" customWidth="1"/>
    <col min="17" max="17" width="17.5703125" customWidth="1"/>
    <col min="18" max="18" width="18.5703125" customWidth="1"/>
    <col min="19" max="19" width="19.140625" customWidth="1"/>
    <col min="20" max="20" width="20.140625" customWidth="1"/>
    <col min="21" max="21" width="15" customWidth="1"/>
    <col min="22" max="22" width="18.85546875" customWidth="1"/>
    <col min="23" max="23" width="21.140625" customWidth="1"/>
    <col min="25" max="26" width="23" bestFit="1" customWidth="1"/>
    <col min="27" max="27" width="12.7109375" bestFit="1" customWidth="1"/>
    <col min="28" max="28" width="14.140625" customWidth="1"/>
  </cols>
  <sheetData>
    <row r="1" spans="1:30">
      <c r="A1" t="s">
        <v>6</v>
      </c>
      <c r="B1" t="s">
        <v>10</v>
      </c>
      <c r="C1" t="s">
        <v>16</v>
      </c>
      <c r="D1" t="s">
        <v>18</v>
      </c>
      <c r="E1" t="s">
        <v>23</v>
      </c>
      <c r="F1" t="s">
        <v>26</v>
      </c>
      <c r="G1" t="s">
        <v>28</v>
      </c>
      <c r="H1" t="s">
        <v>30</v>
      </c>
      <c r="I1" t="s">
        <v>32</v>
      </c>
      <c r="J1" t="s">
        <v>34</v>
      </c>
      <c r="K1" t="s">
        <v>36</v>
      </c>
      <c r="L1" t="s">
        <v>37</v>
      </c>
      <c r="M1" t="s">
        <v>39</v>
      </c>
      <c r="N1" t="s">
        <v>44</v>
      </c>
      <c r="O1" t="s">
        <v>47</v>
      </c>
      <c r="P1" t="s">
        <v>50</v>
      </c>
      <c r="Q1" t="s">
        <v>55</v>
      </c>
      <c r="R1" t="s">
        <v>60</v>
      </c>
      <c r="S1" t="s">
        <v>63</v>
      </c>
      <c r="T1" t="s">
        <v>68</v>
      </c>
      <c r="U1" t="s">
        <v>71</v>
      </c>
      <c r="V1" t="s">
        <v>74</v>
      </c>
      <c r="W1" t="s">
        <v>77</v>
      </c>
      <c r="X1" t="s">
        <v>81</v>
      </c>
      <c r="Y1" s="8" t="s">
        <v>84</v>
      </c>
      <c r="Z1" s="8" t="s">
        <v>89</v>
      </c>
      <c r="AA1" t="s">
        <v>93</v>
      </c>
      <c r="AB1" t="s">
        <v>98</v>
      </c>
      <c r="AC1" t="s">
        <v>103</v>
      </c>
      <c r="AD1" s="1"/>
    </row>
    <row r="2" spans="1:30">
      <c r="A2" t="s">
        <v>111</v>
      </c>
      <c r="B2">
        <v>86.9</v>
      </c>
      <c r="C2">
        <v>26.2</v>
      </c>
      <c r="D2">
        <v>251</v>
      </c>
      <c r="E2">
        <v>0</v>
      </c>
      <c r="F2">
        <v>61</v>
      </c>
      <c r="G2">
        <v>22</v>
      </c>
      <c r="H2">
        <v>264</v>
      </c>
      <c r="I2">
        <v>0</v>
      </c>
      <c r="J2">
        <v>53</v>
      </c>
      <c r="K2">
        <v>19</v>
      </c>
      <c r="L2">
        <v>0</v>
      </c>
      <c r="M2">
        <v>9366.2099999999991</v>
      </c>
      <c r="N2">
        <v>1758.33</v>
      </c>
      <c r="O2">
        <v>1193.6099999999999</v>
      </c>
      <c r="P2">
        <v>0.875</v>
      </c>
      <c r="Q2">
        <v>17.350000000000001</v>
      </c>
      <c r="R2">
        <v>42335.96</v>
      </c>
      <c r="S2">
        <f>1080*9</f>
        <v>9720</v>
      </c>
      <c r="T2" s="2">
        <v>6</v>
      </c>
      <c r="U2">
        <v>2</v>
      </c>
      <c r="V2">
        <v>1</v>
      </c>
      <c r="W2">
        <v>3</v>
      </c>
      <c r="X2">
        <v>3</v>
      </c>
      <c r="Y2" s="9">
        <v>0.54192585650376723</v>
      </c>
      <c r="Z2" s="9">
        <v>0.5598415064465373</v>
      </c>
      <c r="AA2">
        <f>Table375[[#This Row],[dem_rep_ratio_16]]-Table375[[#This Row],[dem_rep_ratio_20]]</f>
        <v>-1.7915649942770062E-2</v>
      </c>
      <c r="AB2">
        <v>1382.2275380000001</v>
      </c>
      <c r="AC2">
        <v>16.8</v>
      </c>
    </row>
    <row r="3" spans="1:30">
      <c r="A3" t="s">
        <v>112</v>
      </c>
      <c r="B3">
        <v>93.1</v>
      </c>
      <c r="C3">
        <v>30</v>
      </c>
      <c r="D3">
        <v>253</v>
      </c>
      <c r="E3">
        <v>0</v>
      </c>
      <c r="F3">
        <v>63</v>
      </c>
      <c r="G3">
        <v>26</v>
      </c>
      <c r="H3">
        <v>270</v>
      </c>
      <c r="I3">
        <v>0</v>
      </c>
      <c r="J3">
        <v>59</v>
      </c>
      <c r="K3">
        <v>23</v>
      </c>
      <c r="L3">
        <v>0</v>
      </c>
      <c r="M3">
        <v>18719.45</v>
      </c>
      <c r="N3">
        <v>3448.06</v>
      </c>
      <c r="O3">
        <v>864.32</v>
      </c>
      <c r="P3">
        <v>1.014</v>
      </c>
      <c r="Q3">
        <v>17.18</v>
      </c>
      <c r="R3">
        <v>7558.21</v>
      </c>
      <c r="S3">
        <f>(4*740)+(5*900)</f>
        <v>7460</v>
      </c>
      <c r="T3" s="2">
        <v>7</v>
      </c>
      <c r="U3">
        <v>0</v>
      </c>
      <c r="V3">
        <v>1</v>
      </c>
      <c r="W3">
        <v>3</v>
      </c>
      <c r="X3">
        <v>0</v>
      </c>
      <c r="Y3" s="9">
        <v>0.57744008199306207</v>
      </c>
      <c r="Z3" s="9">
        <v>0.80200771473283683</v>
      </c>
      <c r="AA3">
        <f>Table375[[#This Row],[dem_rep_ratio_16]]-Table375[[#This Row],[dem_rep_ratio_20]]</f>
        <v>-0.22456763273977476</v>
      </c>
      <c r="AB3">
        <v>2532.1269649999999</v>
      </c>
      <c r="AC3">
        <v>10.9</v>
      </c>
    </row>
    <row r="4" spans="1:30">
      <c r="A4" t="s">
        <v>113</v>
      </c>
      <c r="B4">
        <v>87.9</v>
      </c>
      <c r="C4">
        <v>30.3</v>
      </c>
      <c r="D4">
        <v>259</v>
      </c>
      <c r="E4">
        <v>1</v>
      </c>
      <c r="F4">
        <v>68</v>
      </c>
      <c r="G4">
        <v>28</v>
      </c>
      <c r="H4">
        <v>271</v>
      </c>
      <c r="I4">
        <v>0</v>
      </c>
      <c r="J4">
        <v>58</v>
      </c>
      <c r="K4">
        <v>24</v>
      </c>
      <c r="L4">
        <v>0</v>
      </c>
      <c r="M4">
        <v>8715.84</v>
      </c>
      <c r="N4">
        <v>1381.1</v>
      </c>
      <c r="O4">
        <v>960.17</v>
      </c>
      <c r="P4">
        <v>0.95299999999999996</v>
      </c>
      <c r="Q4">
        <v>22.43</v>
      </c>
      <c r="R4">
        <v>49546.93</v>
      </c>
      <c r="S4">
        <f>(3*712)+(5*890)</f>
        <v>6586</v>
      </c>
      <c r="T4" s="2">
        <v>6</v>
      </c>
      <c r="U4">
        <v>1</v>
      </c>
      <c r="V4">
        <v>1</v>
      </c>
      <c r="W4">
        <v>2</v>
      </c>
      <c r="X4">
        <v>1</v>
      </c>
      <c r="Y4" s="9">
        <v>0.83257500039989207</v>
      </c>
      <c r="Z4" s="9">
        <v>1.0162145041286079</v>
      </c>
      <c r="AA4">
        <f>Table375[[#This Row],[dem_rep_ratio_16]]-Table375[[#This Row],[dem_rep_ratio_20]]</f>
        <v>-0.18363950372871585</v>
      </c>
      <c r="AB4">
        <v>1509.5491910000001</v>
      </c>
      <c r="AC4">
        <v>14</v>
      </c>
    </row>
    <row r="5" spans="1:30">
      <c r="A5" t="s">
        <v>114</v>
      </c>
      <c r="B5">
        <v>87.2</v>
      </c>
      <c r="C5">
        <v>23.8</v>
      </c>
      <c r="D5">
        <v>255</v>
      </c>
      <c r="E5">
        <v>0</v>
      </c>
      <c r="F5">
        <v>64</v>
      </c>
      <c r="G5">
        <v>26</v>
      </c>
      <c r="H5">
        <v>267</v>
      </c>
      <c r="I5">
        <v>0</v>
      </c>
      <c r="J5">
        <v>55</v>
      </c>
      <c r="K5">
        <v>19</v>
      </c>
      <c r="L5">
        <v>0</v>
      </c>
      <c r="M5">
        <v>9048.91</v>
      </c>
      <c r="N5">
        <v>1881.77</v>
      </c>
      <c r="O5">
        <v>962.73</v>
      </c>
      <c r="P5">
        <v>0.89300000000000002</v>
      </c>
      <c r="Q5">
        <v>12.62</v>
      </c>
      <c r="R5">
        <v>38542.660000000003</v>
      </c>
      <c r="S5">
        <v>0</v>
      </c>
      <c r="T5" s="2">
        <v>5</v>
      </c>
      <c r="U5">
        <v>2</v>
      </c>
      <c r="V5">
        <v>2</v>
      </c>
      <c r="W5">
        <v>3</v>
      </c>
      <c r="X5">
        <v>1</v>
      </c>
      <c r="Y5" s="9">
        <v>0.42350651624779156</v>
      </c>
      <c r="Z5" s="9">
        <v>0.31661157704601006</v>
      </c>
      <c r="AA5">
        <f>Table375[[#This Row],[dem_rep_ratio_16]]-Table375[[#This Row],[dem_rep_ratio_20]]</f>
        <v>0.1068949392017815</v>
      </c>
      <c r="AB5">
        <v>1524.3198600000001</v>
      </c>
      <c r="AC5">
        <v>17.2</v>
      </c>
    </row>
    <row r="6" spans="1:30">
      <c r="A6" t="s">
        <v>115</v>
      </c>
      <c r="B6">
        <v>83.9</v>
      </c>
      <c r="C6">
        <v>34.700000000000003</v>
      </c>
      <c r="D6">
        <v>259</v>
      </c>
      <c r="E6">
        <v>1</v>
      </c>
      <c r="F6">
        <v>67</v>
      </c>
      <c r="G6">
        <v>30</v>
      </c>
      <c r="H6">
        <v>270</v>
      </c>
      <c r="I6">
        <v>0</v>
      </c>
      <c r="J6">
        <v>56</v>
      </c>
      <c r="K6">
        <v>23</v>
      </c>
      <c r="L6">
        <v>0</v>
      </c>
      <c r="M6">
        <v>14684.88</v>
      </c>
      <c r="N6">
        <v>2527.0700000000002</v>
      </c>
      <c r="O6">
        <v>1332.37</v>
      </c>
      <c r="P6">
        <v>1.173</v>
      </c>
      <c r="Q6">
        <v>22.47</v>
      </c>
      <c r="R6">
        <v>269850.03000000003</v>
      </c>
      <c r="S6">
        <f>600+3*840+5*900</f>
        <v>7620</v>
      </c>
      <c r="T6" s="2">
        <v>6</v>
      </c>
      <c r="U6">
        <v>1</v>
      </c>
      <c r="V6">
        <v>1</v>
      </c>
      <c r="W6">
        <v>3</v>
      </c>
      <c r="X6">
        <v>2</v>
      </c>
      <c r="Y6" s="9">
        <v>3.2318235292384871</v>
      </c>
      <c r="Z6" s="9">
        <v>1.905599765093454</v>
      </c>
      <c r="AA6">
        <f>Table375[[#This Row],[dem_rep_ratio_16]]-Table375[[#This Row],[dem_rep_ratio_20]]</f>
        <v>1.3262237641450332</v>
      </c>
      <c r="AB6">
        <v>1624.1554040000001</v>
      </c>
      <c r="AC6">
        <v>12.8</v>
      </c>
    </row>
    <row r="7" spans="1:30">
      <c r="A7" t="s">
        <v>116</v>
      </c>
      <c r="B7">
        <v>92.1</v>
      </c>
      <c r="C7">
        <v>41.6</v>
      </c>
      <c r="D7">
        <v>263</v>
      </c>
      <c r="E7">
        <v>1</v>
      </c>
      <c r="F7">
        <v>73</v>
      </c>
      <c r="G7">
        <v>34</v>
      </c>
      <c r="H7">
        <v>275</v>
      </c>
      <c r="I7">
        <v>1</v>
      </c>
      <c r="J7">
        <v>63</v>
      </c>
      <c r="K7">
        <v>28</v>
      </c>
      <c r="L7">
        <v>1</v>
      </c>
      <c r="M7">
        <v>11095.42</v>
      </c>
      <c r="N7">
        <v>2194.9699999999998</v>
      </c>
      <c r="O7">
        <v>1044.27</v>
      </c>
      <c r="P7">
        <v>0.97799999999999998</v>
      </c>
      <c r="Q7">
        <v>16.260000000000002</v>
      </c>
      <c r="R7">
        <v>54318.97</v>
      </c>
      <c r="S7">
        <f>450+5*990+3*1080</f>
        <v>8640</v>
      </c>
      <c r="T7" s="2">
        <v>6</v>
      </c>
      <c r="U7">
        <v>2</v>
      </c>
      <c r="V7">
        <v>1</v>
      </c>
      <c r="W7">
        <v>2</v>
      </c>
      <c r="X7">
        <v>0</v>
      </c>
      <c r="Y7" s="9">
        <v>1.0720239476368032</v>
      </c>
      <c r="Z7" s="9">
        <v>1.2497805192137663</v>
      </c>
      <c r="AA7">
        <f>Table375[[#This Row],[dem_rep_ratio_16]]-Table375[[#This Row],[dem_rep_ratio_20]]</f>
        <v>-0.17775657157696312</v>
      </c>
      <c r="AB7">
        <v>1464.453786</v>
      </c>
      <c r="AC7">
        <v>9.6</v>
      </c>
    </row>
    <row r="8" spans="1:30">
      <c r="A8" t="s">
        <v>117</v>
      </c>
      <c r="B8">
        <v>90.9</v>
      </c>
      <c r="C8">
        <v>40</v>
      </c>
      <c r="D8">
        <v>264</v>
      </c>
      <c r="E8">
        <v>1</v>
      </c>
      <c r="F8">
        <v>72</v>
      </c>
      <c r="G8">
        <v>35</v>
      </c>
      <c r="H8">
        <v>276</v>
      </c>
      <c r="I8">
        <v>1</v>
      </c>
      <c r="J8">
        <v>63</v>
      </c>
      <c r="K8">
        <v>30</v>
      </c>
      <c r="L8">
        <v>1</v>
      </c>
      <c r="M8">
        <v>10456.26</v>
      </c>
      <c r="N8">
        <v>2855.07</v>
      </c>
      <c r="O8">
        <v>970.37</v>
      </c>
      <c r="P8">
        <v>1.0720000000000001</v>
      </c>
      <c r="Q8">
        <v>11.96</v>
      </c>
      <c r="R8">
        <v>42580.2</v>
      </c>
      <c r="S8">
        <f>450+8*900</f>
        <v>7650</v>
      </c>
      <c r="T8" s="2">
        <v>5</v>
      </c>
      <c r="U8">
        <v>1</v>
      </c>
      <c r="V8">
        <v>2</v>
      </c>
      <c r="W8">
        <v>3</v>
      </c>
      <c r="X8">
        <v>0</v>
      </c>
      <c r="Y8" s="9">
        <v>1.5331592299991368</v>
      </c>
      <c r="Z8" s="9">
        <v>1.5119109480101225</v>
      </c>
      <c r="AA8">
        <f>Table375[[#This Row],[dem_rep_ratio_16]]-Table375[[#This Row],[dem_rep_ratio_20]]</f>
        <v>2.1248281989014295E-2</v>
      </c>
      <c r="AB8">
        <v>1905.166052</v>
      </c>
      <c r="AC8">
        <v>10.4</v>
      </c>
    </row>
    <row r="9" spans="1:30">
      <c r="A9" t="s">
        <v>118</v>
      </c>
      <c r="B9">
        <v>90.6</v>
      </c>
      <c r="C9">
        <v>32.700000000000003</v>
      </c>
      <c r="D9">
        <v>253</v>
      </c>
      <c r="E9">
        <v>0</v>
      </c>
      <c r="F9">
        <v>62</v>
      </c>
      <c r="G9">
        <v>24</v>
      </c>
      <c r="H9">
        <v>264</v>
      </c>
      <c r="I9">
        <v>0</v>
      </c>
      <c r="J9">
        <v>51</v>
      </c>
      <c r="K9">
        <v>18</v>
      </c>
      <c r="L9">
        <v>0</v>
      </c>
      <c r="M9">
        <v>12637.39</v>
      </c>
      <c r="N9">
        <v>2300.1799999999998</v>
      </c>
      <c r="O9">
        <v>1572.15</v>
      </c>
      <c r="P9">
        <v>1</v>
      </c>
      <c r="Q9">
        <v>14.02</v>
      </c>
      <c r="R9">
        <v>9849.93</v>
      </c>
      <c r="S9">
        <f>9*1060</f>
        <v>9540</v>
      </c>
      <c r="T9" s="2">
        <v>5</v>
      </c>
      <c r="U9">
        <v>2</v>
      </c>
      <c r="V9">
        <v>2</v>
      </c>
      <c r="W9">
        <v>3</v>
      </c>
      <c r="X9">
        <v>0</v>
      </c>
      <c r="Y9" s="9">
        <v>1.3125916268451268</v>
      </c>
      <c r="Z9" s="9">
        <v>1.4912194343871612</v>
      </c>
      <c r="AA9">
        <f>Table375[[#This Row],[dem_rep_ratio_16]]-Table375[[#This Row],[dem_rep_ratio_20]]</f>
        <v>-0.17862780754203444</v>
      </c>
      <c r="AB9">
        <v>2159.0482689999999</v>
      </c>
      <c r="AC9">
        <v>12.5</v>
      </c>
    </row>
    <row r="10" spans="1:30">
      <c r="A10" t="s">
        <v>120</v>
      </c>
      <c r="B10">
        <v>88.5</v>
      </c>
      <c r="C10">
        <v>30.5</v>
      </c>
      <c r="D10">
        <v>260</v>
      </c>
      <c r="E10">
        <v>1</v>
      </c>
      <c r="F10">
        <v>69</v>
      </c>
      <c r="G10">
        <v>29</v>
      </c>
      <c r="H10">
        <v>271</v>
      </c>
      <c r="I10">
        <v>0</v>
      </c>
      <c r="J10">
        <v>58</v>
      </c>
      <c r="K10">
        <v>23</v>
      </c>
      <c r="L10">
        <v>0</v>
      </c>
      <c r="M10">
        <v>8816.2999999999993</v>
      </c>
      <c r="N10">
        <v>1502.87</v>
      </c>
      <c r="O10">
        <v>560.80999999999995</v>
      </c>
      <c r="P10">
        <v>0.89800000000000002</v>
      </c>
      <c r="Q10">
        <v>17.3</v>
      </c>
      <c r="R10">
        <v>161413.31</v>
      </c>
      <c r="S10">
        <f>4*720+5*900</f>
        <v>7380</v>
      </c>
      <c r="T10" s="2">
        <v>6</v>
      </c>
      <c r="U10">
        <v>0</v>
      </c>
      <c r="V10">
        <v>1</v>
      </c>
      <c r="W10">
        <v>1</v>
      </c>
      <c r="X10">
        <v>2</v>
      </c>
      <c r="Y10" s="9">
        <v>0.88900919713080706</v>
      </c>
      <c r="Z10" s="9">
        <v>0.91932380400425751</v>
      </c>
      <c r="AA10">
        <f>Table375[[#This Row],[dem_rep_ratio_16]]-Table375[[#This Row],[dem_rep_ratio_20]]</f>
        <v>-3.0314606873450445E-2</v>
      </c>
      <c r="AB10">
        <v>1446.926009</v>
      </c>
      <c r="AC10">
        <v>13.6</v>
      </c>
    </row>
    <row r="11" spans="1:30">
      <c r="A11" t="s">
        <v>121</v>
      </c>
      <c r="B11">
        <v>87.9</v>
      </c>
      <c r="C11">
        <v>32.200000000000003</v>
      </c>
      <c r="D11">
        <v>260</v>
      </c>
      <c r="E11">
        <v>1</v>
      </c>
      <c r="F11">
        <v>69</v>
      </c>
      <c r="G11">
        <v>31</v>
      </c>
      <c r="H11">
        <v>271</v>
      </c>
      <c r="I11">
        <v>0</v>
      </c>
      <c r="J11">
        <v>59</v>
      </c>
      <c r="K11">
        <v>24</v>
      </c>
      <c r="L11">
        <v>0</v>
      </c>
      <c r="M11">
        <v>7971</v>
      </c>
      <c r="N11">
        <v>2115.33</v>
      </c>
      <c r="O11">
        <v>591.07000000000005</v>
      </c>
      <c r="P11">
        <v>0.97</v>
      </c>
      <c r="Q11">
        <v>14.65</v>
      </c>
      <c r="R11">
        <v>118059.1</v>
      </c>
      <c r="S11">
        <v>0</v>
      </c>
      <c r="T11" s="2">
        <v>6</v>
      </c>
      <c r="U11">
        <v>1</v>
      </c>
      <c r="V11">
        <v>1</v>
      </c>
      <c r="W11">
        <v>3</v>
      </c>
      <c r="X11">
        <v>2</v>
      </c>
      <c r="Y11" s="9">
        <v>0.76586772801918312</v>
      </c>
      <c r="Z11" s="9">
        <v>0.99486254620203596</v>
      </c>
      <c r="AA11">
        <f>Table375[[#This Row],[dem_rep_ratio_16]]-Table375[[#This Row],[dem_rep_ratio_20]]</f>
        <v>-0.22899481818285283</v>
      </c>
      <c r="AB11">
        <v>1451.6861100000001</v>
      </c>
      <c r="AC11">
        <v>14.3</v>
      </c>
    </row>
    <row r="12" spans="1:30">
      <c r="A12" t="s">
        <v>122</v>
      </c>
      <c r="B12">
        <v>92.5</v>
      </c>
      <c r="C12">
        <v>33.6</v>
      </c>
      <c r="D12">
        <v>259</v>
      </c>
      <c r="E12">
        <v>1</v>
      </c>
      <c r="F12">
        <v>68</v>
      </c>
      <c r="G12">
        <v>31</v>
      </c>
      <c r="H12">
        <v>270</v>
      </c>
      <c r="I12">
        <v>0</v>
      </c>
      <c r="J12">
        <v>58</v>
      </c>
      <c r="K12">
        <v>22</v>
      </c>
      <c r="L12">
        <v>0</v>
      </c>
      <c r="M12">
        <v>12306.36</v>
      </c>
      <c r="N12">
        <v>1556.27</v>
      </c>
      <c r="O12">
        <v>850.97</v>
      </c>
      <c r="P12">
        <v>1.0249999999999999</v>
      </c>
      <c r="Q12">
        <v>14.53</v>
      </c>
      <c r="R12">
        <v>12145.4</v>
      </c>
      <c r="S12">
        <f>1080*9</f>
        <v>9720</v>
      </c>
      <c r="T12" s="2">
        <v>5</v>
      </c>
      <c r="U12">
        <v>2</v>
      </c>
      <c r="V12">
        <v>2</v>
      </c>
      <c r="W12">
        <v>3</v>
      </c>
      <c r="X12">
        <v>0</v>
      </c>
      <c r="Y12" s="9">
        <v>2.9449113935583799</v>
      </c>
      <c r="Z12" s="9">
        <v>2.0475291056836675</v>
      </c>
      <c r="AA12">
        <f>Table375[[#This Row],[dem_rep_ratio_16]]-Table375[[#This Row],[dem_rep_ratio_20]]</f>
        <v>0.89738228787471241</v>
      </c>
      <c r="AB12">
        <v>2379.557495</v>
      </c>
      <c r="AC12">
        <v>8.8000000000000007</v>
      </c>
    </row>
    <row r="13" spans="1:30">
      <c r="A13" t="s">
        <v>123</v>
      </c>
      <c r="B13">
        <v>91.3</v>
      </c>
      <c r="C13">
        <v>28.7</v>
      </c>
      <c r="D13">
        <v>264</v>
      </c>
      <c r="E13">
        <v>1</v>
      </c>
      <c r="F13">
        <v>74</v>
      </c>
      <c r="G13">
        <v>32</v>
      </c>
      <c r="H13">
        <v>282</v>
      </c>
      <c r="I13">
        <v>1</v>
      </c>
      <c r="J13">
        <v>71</v>
      </c>
      <c r="K13">
        <v>32</v>
      </c>
      <c r="L13">
        <v>1</v>
      </c>
      <c r="M13">
        <v>8066.8</v>
      </c>
      <c r="N13">
        <v>1404.02</v>
      </c>
      <c r="O13">
        <v>640.19000000000005</v>
      </c>
      <c r="P13">
        <v>0.85299999999999998</v>
      </c>
      <c r="Q13">
        <v>17.489999999999998</v>
      </c>
      <c r="R13">
        <v>17582.259999999998</v>
      </c>
      <c r="S13">
        <f>450+3*810+5*900</f>
        <v>7380</v>
      </c>
      <c r="T13" s="2">
        <v>7</v>
      </c>
      <c r="U13">
        <v>0</v>
      </c>
      <c r="V13">
        <v>1</v>
      </c>
      <c r="W13">
        <v>2</v>
      </c>
      <c r="X13">
        <v>2</v>
      </c>
      <c r="Y13" s="9">
        <v>0.44960080146076642</v>
      </c>
      <c r="Z13" s="9">
        <v>0.50086519102523019</v>
      </c>
      <c r="AA13">
        <f>Table375[[#This Row],[dem_rep_ratio_16]]-Table375[[#This Row],[dem_rep_ratio_20]]</f>
        <v>-5.1264389564463775E-2</v>
      </c>
      <c r="AB13">
        <v>1357.613427</v>
      </c>
      <c r="AC13">
        <v>11.8</v>
      </c>
    </row>
    <row r="14" spans="1:30">
      <c r="A14" t="s">
        <v>124</v>
      </c>
      <c r="B14">
        <v>89.7</v>
      </c>
      <c r="C14">
        <v>35.5</v>
      </c>
      <c r="D14">
        <v>262</v>
      </c>
      <c r="E14">
        <v>1</v>
      </c>
      <c r="F14">
        <v>71</v>
      </c>
      <c r="G14">
        <v>32</v>
      </c>
      <c r="H14">
        <v>275</v>
      </c>
      <c r="I14">
        <v>1</v>
      </c>
      <c r="J14">
        <v>62</v>
      </c>
      <c r="K14">
        <v>27</v>
      </c>
      <c r="L14">
        <v>1</v>
      </c>
      <c r="M14">
        <v>10989.54</v>
      </c>
      <c r="N14">
        <v>2398.69</v>
      </c>
      <c r="O14">
        <v>789.43</v>
      </c>
      <c r="P14">
        <v>1.02</v>
      </c>
      <c r="Q14">
        <v>-1</v>
      </c>
      <c r="R14">
        <v>-1</v>
      </c>
      <c r="S14">
        <v>0</v>
      </c>
      <c r="T14" s="2">
        <v>6</v>
      </c>
      <c r="U14">
        <v>1</v>
      </c>
      <c r="V14">
        <v>1</v>
      </c>
      <c r="W14">
        <v>3</v>
      </c>
      <c r="X14">
        <v>3</v>
      </c>
      <c r="Y14" s="9">
        <v>1.3249131298190302</v>
      </c>
      <c r="Z14" s="9">
        <v>1.4068441149325763</v>
      </c>
      <c r="AA14">
        <f>Table375[[#This Row],[dem_rep_ratio_16]]-Table375[[#This Row],[dem_rep_ratio_20]]</f>
        <v>-8.1930985113546129E-2</v>
      </c>
      <c r="AB14">
        <v>2022.20072</v>
      </c>
      <c r="AC14">
        <v>12.1</v>
      </c>
    </row>
    <row r="15" spans="1:30">
      <c r="A15" t="s">
        <v>125</v>
      </c>
      <c r="B15">
        <v>89.3</v>
      </c>
      <c r="C15">
        <v>27.2</v>
      </c>
      <c r="D15">
        <v>261</v>
      </c>
      <c r="E15">
        <v>1</v>
      </c>
      <c r="F15">
        <v>70</v>
      </c>
      <c r="G15">
        <v>31</v>
      </c>
      <c r="H15">
        <v>279</v>
      </c>
      <c r="I15">
        <v>1</v>
      </c>
      <c r="J15">
        <v>66</v>
      </c>
      <c r="K15">
        <v>30</v>
      </c>
      <c r="L15">
        <v>1</v>
      </c>
      <c r="M15">
        <v>9808.9</v>
      </c>
      <c r="N15">
        <v>1773.94</v>
      </c>
      <c r="O15">
        <v>966.55</v>
      </c>
      <c r="P15">
        <v>0.879</v>
      </c>
      <c r="Q15">
        <v>15.72</v>
      </c>
      <c r="R15">
        <v>65758.31</v>
      </c>
      <c r="S15">
        <v>0</v>
      </c>
      <c r="T15" s="2">
        <v>7</v>
      </c>
      <c r="U15">
        <v>1</v>
      </c>
      <c r="V15">
        <v>1</v>
      </c>
      <c r="W15">
        <v>-1</v>
      </c>
      <c r="X15">
        <v>-1</v>
      </c>
      <c r="Y15" s="9">
        <v>0.73344911901770826</v>
      </c>
      <c r="Z15" s="9">
        <v>0.70270356760447006</v>
      </c>
      <c r="AA15">
        <f>Table375[[#This Row],[dem_rep_ratio_16]]-Table375[[#This Row],[dem_rep_ratio_20]]</f>
        <v>3.0745551413238204E-2</v>
      </c>
      <c r="AB15">
        <v>1448.559919</v>
      </c>
      <c r="AC15">
        <v>13.1</v>
      </c>
    </row>
    <row r="16" spans="1:30">
      <c r="A16" t="s">
        <v>126</v>
      </c>
      <c r="B16">
        <v>92.5</v>
      </c>
      <c r="C16">
        <v>29.3</v>
      </c>
      <c r="D16">
        <v>260</v>
      </c>
      <c r="E16">
        <v>1</v>
      </c>
      <c r="F16">
        <v>71</v>
      </c>
      <c r="G16">
        <v>29</v>
      </c>
      <c r="H16">
        <v>277</v>
      </c>
      <c r="I16">
        <v>1</v>
      </c>
      <c r="J16">
        <v>67</v>
      </c>
      <c r="K16">
        <v>28</v>
      </c>
      <c r="L16">
        <v>1</v>
      </c>
      <c r="M16">
        <v>11476.57</v>
      </c>
      <c r="N16">
        <v>2368.64</v>
      </c>
      <c r="O16">
        <v>1152.98</v>
      </c>
      <c r="P16">
        <v>0.88800000000000001</v>
      </c>
      <c r="Q16">
        <v>14.05</v>
      </c>
      <c r="R16">
        <v>36048.379999999997</v>
      </c>
      <c r="S16">
        <f>9*1080</f>
        <v>9720</v>
      </c>
      <c r="T16" s="2">
        <v>6</v>
      </c>
      <c r="U16">
        <v>1</v>
      </c>
      <c r="V16">
        <v>0</v>
      </c>
      <c r="W16">
        <v>2</v>
      </c>
      <c r="X16">
        <v>1</v>
      </c>
      <c r="Y16" s="9">
        <v>0.73897335701179023</v>
      </c>
      <c r="Z16" s="9">
        <v>0.8680837058419496</v>
      </c>
      <c r="AA16">
        <f>Table375[[#This Row],[dem_rep_ratio_16]]-Table375[[#This Row],[dem_rep_ratio_20]]</f>
        <v>-0.12911034883015937</v>
      </c>
      <c r="AB16">
        <v>1703.1324119999999</v>
      </c>
      <c r="AC16">
        <v>11.2</v>
      </c>
    </row>
    <row r="17" spans="1:29">
      <c r="A17" t="s">
        <v>127</v>
      </c>
      <c r="B17">
        <v>91.4</v>
      </c>
      <c r="C17">
        <v>33.9</v>
      </c>
      <c r="D17">
        <v>256</v>
      </c>
      <c r="E17">
        <v>0</v>
      </c>
      <c r="F17">
        <v>67</v>
      </c>
      <c r="G17">
        <v>26</v>
      </c>
      <c r="H17">
        <v>272</v>
      </c>
      <c r="I17">
        <v>0</v>
      </c>
      <c r="J17">
        <v>61</v>
      </c>
      <c r="K17">
        <v>23</v>
      </c>
      <c r="L17">
        <v>0</v>
      </c>
      <c r="M17">
        <v>10693.54</v>
      </c>
      <c r="N17">
        <v>2535.1799999999998</v>
      </c>
      <c r="O17">
        <v>1130.55</v>
      </c>
      <c r="P17">
        <v>0.86499999999999999</v>
      </c>
      <c r="Q17">
        <v>12.68</v>
      </c>
      <c r="R17">
        <v>38007.33</v>
      </c>
      <c r="S17">
        <f>465+8*1116</f>
        <v>9393</v>
      </c>
      <c r="T17" s="2">
        <v>7</v>
      </c>
      <c r="U17">
        <v>1</v>
      </c>
      <c r="V17">
        <v>0</v>
      </c>
      <c r="W17">
        <v>2</v>
      </c>
      <c r="X17">
        <v>1</v>
      </c>
      <c r="Y17" s="9">
        <v>0.53602296682834083</v>
      </c>
      <c r="Z17" s="9">
        <v>0.74677466283063165</v>
      </c>
      <c r="AA17">
        <f>Table375[[#This Row],[dem_rep_ratio_16]]-Table375[[#This Row],[dem_rep_ratio_20]]</f>
        <v>-0.21075169600229082</v>
      </c>
      <c r="AB17">
        <v>1581.615665</v>
      </c>
      <c r="AC17">
        <v>12</v>
      </c>
    </row>
    <row r="18" spans="1:29">
      <c r="A18" t="s">
        <v>128</v>
      </c>
      <c r="B18">
        <v>87.2</v>
      </c>
      <c r="C18">
        <v>25</v>
      </c>
      <c r="D18">
        <v>258</v>
      </c>
      <c r="E18">
        <v>0</v>
      </c>
      <c r="F18">
        <v>68</v>
      </c>
      <c r="G18">
        <v>29</v>
      </c>
      <c r="H18">
        <v>269</v>
      </c>
      <c r="I18">
        <v>0</v>
      </c>
      <c r="J18">
        <v>57</v>
      </c>
      <c r="K18">
        <v>21</v>
      </c>
      <c r="L18">
        <v>0</v>
      </c>
      <c r="M18">
        <v>10203.450000000001</v>
      </c>
      <c r="N18">
        <v>1755.14</v>
      </c>
      <c r="O18">
        <v>834.13</v>
      </c>
      <c r="P18">
        <v>0.85699999999999998</v>
      </c>
      <c r="Q18">
        <v>15.52</v>
      </c>
      <c r="R18">
        <v>42458.13</v>
      </c>
      <c r="S18">
        <f>9*1062</f>
        <v>9558</v>
      </c>
      <c r="T18" s="2">
        <v>6</v>
      </c>
      <c r="U18">
        <v>1</v>
      </c>
      <c r="V18">
        <v>1</v>
      </c>
      <c r="W18">
        <v>3</v>
      </c>
      <c r="X18">
        <v>3</v>
      </c>
      <c r="Y18" s="9">
        <v>0.54379197770892684</v>
      </c>
      <c r="Z18" s="9">
        <v>0.59230235032524836</v>
      </c>
      <c r="AA18">
        <f>Table375[[#This Row],[dem_rep_ratio_16]]-Table375[[#This Row],[dem_rep_ratio_20]]</f>
        <v>-4.8510372616321518E-2</v>
      </c>
      <c r="AB18">
        <v>1567.9183860000001</v>
      </c>
      <c r="AC18">
        <v>16.899999999999999</v>
      </c>
    </row>
    <row r="19" spans="1:29">
      <c r="A19" t="s">
        <v>129</v>
      </c>
      <c r="B19">
        <v>85.9</v>
      </c>
      <c r="C19">
        <v>24.9</v>
      </c>
      <c r="D19">
        <v>257</v>
      </c>
      <c r="E19">
        <v>0</v>
      </c>
      <c r="F19">
        <v>66</v>
      </c>
      <c r="G19">
        <v>27</v>
      </c>
      <c r="H19">
        <v>266</v>
      </c>
      <c r="I19">
        <v>0</v>
      </c>
      <c r="J19">
        <v>53</v>
      </c>
      <c r="K19">
        <v>19</v>
      </c>
      <c r="L19">
        <v>0</v>
      </c>
      <c r="M19">
        <v>10539.57</v>
      </c>
      <c r="N19">
        <v>1891.77</v>
      </c>
      <c r="O19">
        <v>872.75</v>
      </c>
      <c r="P19">
        <v>0.89700000000000002</v>
      </c>
      <c r="Q19">
        <v>18.07</v>
      </c>
      <c r="R19">
        <v>38368.879999999997</v>
      </c>
      <c r="S19">
        <f>9*1062</f>
        <v>9558</v>
      </c>
      <c r="T19" s="2">
        <v>7</v>
      </c>
      <c r="U19">
        <v>2</v>
      </c>
      <c r="V19">
        <v>1</v>
      </c>
      <c r="W19">
        <v>3</v>
      </c>
      <c r="X19">
        <v>3</v>
      </c>
      <c r="Y19" s="9">
        <v>0.56271459568560223</v>
      </c>
      <c r="Z19" s="9">
        <v>0.60167632534261173</v>
      </c>
      <c r="AA19">
        <f>Table375[[#This Row],[dem_rep_ratio_16]]-Table375[[#This Row],[dem_rep_ratio_20]]</f>
        <v>-3.8961729657009503E-2</v>
      </c>
      <c r="AB19">
        <v>1546.1577749999999</v>
      </c>
      <c r="AC19">
        <v>18.600000000000001</v>
      </c>
    </row>
    <row r="20" spans="1:29">
      <c r="A20" t="s">
        <v>130</v>
      </c>
      <c r="B20">
        <v>93.2</v>
      </c>
      <c r="C20">
        <v>32.5</v>
      </c>
      <c r="D20">
        <v>257</v>
      </c>
      <c r="E20">
        <v>0</v>
      </c>
      <c r="F20">
        <v>66</v>
      </c>
      <c r="G20">
        <v>29</v>
      </c>
      <c r="H20">
        <v>273</v>
      </c>
      <c r="I20">
        <v>1</v>
      </c>
      <c r="J20">
        <v>61</v>
      </c>
      <c r="K20">
        <v>24</v>
      </c>
      <c r="L20">
        <v>0</v>
      </c>
      <c r="M20">
        <v>10190.879999999999</v>
      </c>
      <c r="N20">
        <v>2279.09</v>
      </c>
      <c r="O20">
        <v>607.53</v>
      </c>
      <c r="P20">
        <v>0.86899999999999999</v>
      </c>
      <c r="Q20">
        <v>11.39</v>
      </c>
      <c r="R20">
        <v>15142.94</v>
      </c>
      <c r="S20">
        <v>0</v>
      </c>
      <c r="T20" s="2">
        <v>6</v>
      </c>
      <c r="U20">
        <v>1</v>
      </c>
      <c r="V20">
        <v>0</v>
      </c>
      <c r="W20">
        <v>3</v>
      </c>
      <c r="X20">
        <v>1</v>
      </c>
      <c r="Y20" s="9">
        <v>1.0740534456885606</v>
      </c>
      <c r="Z20" s="9">
        <v>1.1185882937696336</v>
      </c>
      <c r="AA20">
        <f>Table375[[#This Row],[dem_rep_ratio_16]]-Table375[[#This Row],[dem_rep_ratio_20]]</f>
        <v>-4.4534848081072997E-2</v>
      </c>
      <c r="AB20">
        <v>2251.6442550000002</v>
      </c>
      <c r="AC20">
        <v>11.6</v>
      </c>
    </row>
    <row r="21" spans="1:29">
      <c r="A21" t="s">
        <v>131</v>
      </c>
      <c r="B21">
        <v>90.6</v>
      </c>
      <c r="C21">
        <v>40.9</v>
      </c>
      <c r="D21">
        <v>259</v>
      </c>
      <c r="E21">
        <v>1</v>
      </c>
      <c r="F21">
        <v>67</v>
      </c>
      <c r="G21">
        <v>33</v>
      </c>
      <c r="H21">
        <v>269</v>
      </c>
      <c r="I21">
        <v>0</v>
      </c>
      <c r="J21">
        <v>54</v>
      </c>
      <c r="K21">
        <v>25</v>
      </c>
      <c r="L21">
        <v>0</v>
      </c>
      <c r="M21">
        <v>11714.11</v>
      </c>
      <c r="N21">
        <v>2475.35</v>
      </c>
      <c r="O21">
        <v>1152.21</v>
      </c>
      <c r="P21">
        <v>1.0760000000000001</v>
      </c>
      <c r="Q21">
        <v>14.17</v>
      </c>
      <c r="R21">
        <v>62276.32</v>
      </c>
      <c r="S21">
        <f>9*1080</f>
        <v>9720</v>
      </c>
      <c r="T21" s="2">
        <v>5</v>
      </c>
      <c r="U21">
        <v>2</v>
      </c>
      <c r="V21">
        <v>2</v>
      </c>
      <c r="W21">
        <v>3</v>
      </c>
      <c r="X21">
        <v>1</v>
      </c>
      <c r="Y21" s="9">
        <v>1.7284073953354873</v>
      </c>
      <c r="Z21" s="9">
        <v>1.9444442781572451</v>
      </c>
      <c r="AA21">
        <f>Table375[[#This Row],[dem_rep_ratio_16]]-Table375[[#This Row],[dem_rep_ratio_20]]</f>
        <v>-0.21603688282175781</v>
      </c>
      <c r="AB21">
        <v>2048.9481150000001</v>
      </c>
      <c r="AC21">
        <v>9</v>
      </c>
    </row>
    <row r="22" spans="1:29">
      <c r="A22" t="s">
        <v>132</v>
      </c>
      <c r="B22">
        <v>91.1</v>
      </c>
      <c r="C22">
        <v>44.5</v>
      </c>
      <c r="D22">
        <v>269</v>
      </c>
      <c r="E22">
        <v>1</v>
      </c>
      <c r="F22">
        <v>77</v>
      </c>
      <c r="G22">
        <v>40</v>
      </c>
      <c r="H22">
        <v>284</v>
      </c>
      <c r="I22">
        <v>1</v>
      </c>
      <c r="J22">
        <v>70</v>
      </c>
      <c r="K22">
        <v>35</v>
      </c>
      <c r="L22">
        <v>1</v>
      </c>
      <c r="M22">
        <v>13060.39</v>
      </c>
      <c r="N22">
        <v>2774.57</v>
      </c>
      <c r="O22">
        <v>711.51</v>
      </c>
      <c r="P22">
        <v>1.099</v>
      </c>
      <c r="Q22">
        <v>12.27</v>
      </c>
      <c r="R22">
        <v>75146.720000000001</v>
      </c>
      <c r="S22">
        <f>425+5*900+3*990</f>
        <v>7895</v>
      </c>
      <c r="T22" s="3">
        <v>6</v>
      </c>
      <c r="U22">
        <v>1</v>
      </c>
      <c r="V22">
        <v>0</v>
      </c>
      <c r="W22">
        <v>3</v>
      </c>
      <c r="X22">
        <v>2</v>
      </c>
      <c r="Y22" s="9">
        <v>2.8143155639313262</v>
      </c>
      <c r="Z22" s="9">
        <v>2.372760488940751</v>
      </c>
      <c r="AA22">
        <f>Table375[[#This Row],[dem_rep_ratio_16]]-Table375[[#This Row],[dem_rep_ratio_20]]</f>
        <v>0.44155507499057522</v>
      </c>
      <c r="AB22">
        <v>1929.4130720000001</v>
      </c>
      <c r="AC22">
        <v>10</v>
      </c>
    </row>
    <row r="23" spans="1:29">
      <c r="A23" t="s">
        <v>133</v>
      </c>
      <c r="B23">
        <v>91.3</v>
      </c>
      <c r="C23">
        <v>30</v>
      </c>
      <c r="D23">
        <v>259</v>
      </c>
      <c r="E23">
        <v>1</v>
      </c>
      <c r="F23">
        <v>68</v>
      </c>
      <c r="G23">
        <v>28</v>
      </c>
      <c r="H23">
        <v>273</v>
      </c>
      <c r="I23">
        <v>1</v>
      </c>
      <c r="J23">
        <v>60</v>
      </c>
      <c r="K23">
        <v>25</v>
      </c>
      <c r="L23">
        <v>1</v>
      </c>
      <c r="M23">
        <v>9749.81</v>
      </c>
      <c r="N23">
        <v>2006.81</v>
      </c>
      <c r="O23">
        <v>981.84</v>
      </c>
      <c r="P23">
        <v>0.91800000000000004</v>
      </c>
      <c r="Q23">
        <v>17.010000000000002</v>
      </c>
      <c r="R23">
        <v>84317.37</v>
      </c>
      <c r="S23">
        <f>9*1098</f>
        <v>9882</v>
      </c>
      <c r="T23" s="2">
        <v>6</v>
      </c>
      <c r="U23">
        <v>0</v>
      </c>
      <c r="V23">
        <v>1</v>
      </c>
      <c r="W23">
        <v>3</v>
      </c>
      <c r="X23">
        <v>2</v>
      </c>
      <c r="Y23" s="9">
        <v>0.98670644900612325</v>
      </c>
      <c r="Z23" s="9">
        <v>1.0400973910633751</v>
      </c>
      <c r="AA23">
        <f>Table375[[#This Row],[dem_rep_ratio_16]]-Table375[[#This Row],[dem_rep_ratio_20]]</f>
        <v>-5.3390942057251811E-2</v>
      </c>
      <c r="AB23">
        <v>1827.363468</v>
      </c>
      <c r="AC23">
        <v>14.1</v>
      </c>
    </row>
    <row r="24" spans="1:29">
      <c r="A24" t="s">
        <v>134</v>
      </c>
      <c r="B24">
        <v>93.4</v>
      </c>
      <c r="C24">
        <v>36.799999999999997</v>
      </c>
      <c r="D24">
        <v>260</v>
      </c>
      <c r="E24">
        <v>1</v>
      </c>
      <c r="F24">
        <v>72</v>
      </c>
      <c r="G24">
        <v>30</v>
      </c>
      <c r="H24">
        <v>280</v>
      </c>
      <c r="I24">
        <v>1</v>
      </c>
      <c r="J24">
        <v>69</v>
      </c>
      <c r="K24">
        <v>32</v>
      </c>
      <c r="L24">
        <v>1</v>
      </c>
      <c r="M24">
        <v>12009.53</v>
      </c>
      <c r="N24">
        <v>2517.73</v>
      </c>
      <c r="O24">
        <v>891.49</v>
      </c>
      <c r="P24">
        <v>1.0089999999999999</v>
      </c>
      <c r="Q24">
        <v>15.99</v>
      </c>
      <c r="R24">
        <v>54535.32</v>
      </c>
      <c r="S24">
        <f>425+6*935+2*1020</f>
        <v>8075</v>
      </c>
      <c r="T24" s="2">
        <v>7</v>
      </c>
      <c r="U24">
        <v>0</v>
      </c>
      <c r="V24">
        <v>1</v>
      </c>
      <c r="W24">
        <v>3</v>
      </c>
      <c r="X24">
        <v>1</v>
      </c>
      <c r="Y24" s="9">
        <v>1.0544351993895329</v>
      </c>
      <c r="Z24" s="9">
        <v>1.1103829902479441</v>
      </c>
      <c r="AA24">
        <f>Table375[[#This Row],[dem_rep_ratio_16]]-Table375[[#This Row],[dem_rep_ratio_20]]</f>
        <v>-5.5947790858411173E-2</v>
      </c>
      <c r="AB24">
        <v>1635.3223439999999</v>
      </c>
      <c r="AC24">
        <v>9.6</v>
      </c>
    </row>
    <row r="25" spans="1:29">
      <c r="A25" t="s">
        <v>135</v>
      </c>
      <c r="B25">
        <v>85.3</v>
      </c>
      <c r="C25">
        <v>22.8</v>
      </c>
      <c r="D25">
        <v>253</v>
      </c>
      <c r="E25">
        <v>0</v>
      </c>
      <c r="F25">
        <v>63</v>
      </c>
      <c r="G25">
        <v>22</v>
      </c>
      <c r="H25">
        <v>266</v>
      </c>
      <c r="I25">
        <v>0</v>
      </c>
      <c r="J25">
        <v>54</v>
      </c>
      <c r="K25">
        <v>18</v>
      </c>
      <c r="L25">
        <v>0</v>
      </c>
      <c r="M25">
        <v>9571.44</v>
      </c>
      <c r="N25">
        <v>1751.8</v>
      </c>
      <c r="O25">
        <v>1007.2</v>
      </c>
      <c r="P25">
        <v>0.84199999999999997</v>
      </c>
      <c r="Q25">
        <v>14.06</v>
      </c>
      <c r="R25">
        <v>31479.63</v>
      </c>
      <c r="S25">
        <v>0</v>
      </c>
      <c r="T25" s="2">
        <v>6</v>
      </c>
      <c r="U25">
        <v>2</v>
      </c>
      <c r="V25">
        <v>0</v>
      </c>
      <c r="W25">
        <v>3</v>
      </c>
      <c r="X25">
        <v>3</v>
      </c>
      <c r="Y25" s="9">
        <v>0.67680836525460286</v>
      </c>
      <c r="Z25" s="9">
        <v>0.67709219143665478</v>
      </c>
      <c r="AA25">
        <f>Table375[[#This Row],[dem_rep_ratio_16]]-Table375[[#This Row],[dem_rep_ratio_20]]</f>
        <v>-2.8382618205191612E-4</v>
      </c>
      <c r="AB25">
        <v>1429.159318</v>
      </c>
      <c r="AC25">
        <v>19.7</v>
      </c>
    </row>
    <row r="26" spans="1:29">
      <c r="A26" t="s">
        <v>136</v>
      </c>
      <c r="B26">
        <v>90.6</v>
      </c>
      <c r="C26">
        <v>29.9</v>
      </c>
      <c r="D26">
        <v>258</v>
      </c>
      <c r="E26">
        <v>0</v>
      </c>
      <c r="F26">
        <v>67</v>
      </c>
      <c r="G26">
        <v>28</v>
      </c>
      <c r="H26">
        <v>272</v>
      </c>
      <c r="I26">
        <v>0</v>
      </c>
      <c r="J26">
        <v>61</v>
      </c>
      <c r="K26">
        <v>24</v>
      </c>
      <c r="L26">
        <v>0</v>
      </c>
      <c r="M26">
        <v>8966.68</v>
      </c>
      <c r="N26">
        <v>1881.88</v>
      </c>
      <c r="O26">
        <v>622.65</v>
      </c>
      <c r="P26">
        <v>0.89600000000000002</v>
      </c>
      <c r="Q26">
        <v>12.8</v>
      </c>
      <c r="R26">
        <v>68923.839999999997</v>
      </c>
      <c r="S26">
        <f>522+8*1044</f>
        <v>8874</v>
      </c>
      <c r="T26" s="2">
        <v>7</v>
      </c>
      <c r="U26">
        <v>1</v>
      </c>
      <c r="V26">
        <v>1</v>
      </c>
      <c r="W26">
        <v>3</v>
      </c>
      <c r="X26">
        <v>3</v>
      </c>
      <c r="Y26" s="9">
        <v>0.74616359968190615</v>
      </c>
      <c r="Z26" s="9">
        <v>0.70407070119391446</v>
      </c>
      <c r="AA26">
        <f>Table375[[#This Row],[dem_rep_ratio_16]]-Table375[[#This Row],[dem_rep_ratio_20]]</f>
        <v>4.2092898487991692E-2</v>
      </c>
      <c r="AB26">
        <v>1490.318205</v>
      </c>
      <c r="AC26">
        <v>13.2</v>
      </c>
    </row>
    <row r="27" spans="1:29">
      <c r="A27" t="s">
        <v>137</v>
      </c>
      <c r="B27">
        <v>94</v>
      </c>
      <c r="C27">
        <v>33.1</v>
      </c>
      <c r="D27">
        <v>261</v>
      </c>
      <c r="E27">
        <v>1</v>
      </c>
      <c r="F27">
        <v>72</v>
      </c>
      <c r="G27">
        <v>29</v>
      </c>
      <c r="H27">
        <v>277</v>
      </c>
      <c r="I27">
        <v>1</v>
      </c>
      <c r="J27">
        <v>68</v>
      </c>
      <c r="K27">
        <v>29</v>
      </c>
      <c r="L27">
        <v>1</v>
      </c>
      <c r="M27">
        <v>9980.6200000000008</v>
      </c>
      <c r="N27">
        <v>1993.14</v>
      </c>
      <c r="O27">
        <v>907.92</v>
      </c>
      <c r="P27">
        <v>0.81399999999999995</v>
      </c>
      <c r="Q27">
        <v>13.37</v>
      </c>
      <c r="R27">
        <v>10941.68</v>
      </c>
      <c r="S27">
        <f>360+3*720+5*1080</f>
        <v>7920</v>
      </c>
      <c r="T27" s="2">
        <v>7</v>
      </c>
      <c r="U27">
        <v>1</v>
      </c>
      <c r="V27">
        <v>1</v>
      </c>
      <c r="W27">
        <v>2</v>
      </c>
      <c r="X27">
        <v>0</v>
      </c>
      <c r="Y27" s="9">
        <v>0.6794710572832352</v>
      </c>
      <c r="Z27" s="9">
        <v>0.7673535476822072</v>
      </c>
      <c r="AA27">
        <f>Table375[[#This Row],[dem_rep_ratio_16]]-Table375[[#This Row],[dem_rep_ratio_20]]</f>
        <v>-8.7882490398972002E-2</v>
      </c>
      <c r="AB27">
        <v>2121.7070130000002</v>
      </c>
      <c r="AC27">
        <v>13</v>
      </c>
    </row>
    <row r="28" spans="1:29">
      <c r="A28" t="s">
        <v>138</v>
      </c>
      <c r="B28">
        <v>91.6</v>
      </c>
      <c r="C28">
        <v>32.5</v>
      </c>
      <c r="D28">
        <v>259</v>
      </c>
      <c r="E28">
        <v>1</v>
      </c>
      <c r="F28">
        <v>70</v>
      </c>
      <c r="G28">
        <v>29</v>
      </c>
      <c r="H28">
        <v>279</v>
      </c>
      <c r="I28">
        <v>1</v>
      </c>
      <c r="J28">
        <v>68</v>
      </c>
      <c r="K28">
        <v>31</v>
      </c>
      <c r="L28">
        <v>1</v>
      </c>
      <c r="M28">
        <v>10783.95</v>
      </c>
      <c r="N28">
        <v>2707.17</v>
      </c>
      <c r="O28">
        <v>1285.48</v>
      </c>
      <c r="P28">
        <v>0.86799999999999999</v>
      </c>
      <c r="Q28">
        <v>13.56</v>
      </c>
      <c r="R28">
        <v>23943.47</v>
      </c>
      <c r="S28">
        <f>400+8*1032</f>
        <v>8656</v>
      </c>
      <c r="T28" s="2">
        <v>6</v>
      </c>
      <c r="U28">
        <v>1</v>
      </c>
      <c r="V28">
        <v>1</v>
      </c>
      <c r="W28">
        <v>3</v>
      </c>
      <c r="X28">
        <v>0</v>
      </c>
      <c r="Y28" s="9">
        <v>0.4798807424268024</v>
      </c>
      <c r="Z28" s="9">
        <v>0.53766747199648579</v>
      </c>
      <c r="AA28">
        <f>Table375[[#This Row],[dem_rep_ratio_16]]-Table375[[#This Row],[dem_rep_ratio_20]]</f>
        <v>-5.7786729569683393E-2</v>
      </c>
      <c r="AB28">
        <v>1771.6585769999999</v>
      </c>
      <c r="AC28">
        <v>11</v>
      </c>
    </row>
    <row r="29" spans="1:29">
      <c r="A29" t="s">
        <v>139</v>
      </c>
      <c r="B29">
        <v>86.9</v>
      </c>
      <c r="C29">
        <v>25.5</v>
      </c>
      <c r="D29">
        <v>259</v>
      </c>
      <c r="E29">
        <v>1</v>
      </c>
      <c r="F29">
        <v>68</v>
      </c>
      <c r="G29">
        <v>29</v>
      </c>
      <c r="H29">
        <v>269</v>
      </c>
      <c r="I29">
        <v>0</v>
      </c>
      <c r="J29">
        <v>56</v>
      </c>
      <c r="K29">
        <v>21</v>
      </c>
      <c r="L29">
        <v>0</v>
      </c>
      <c r="M29">
        <v>8278.5499999999993</v>
      </c>
      <c r="N29">
        <v>1664.14</v>
      </c>
      <c r="O29">
        <v>552.71</v>
      </c>
      <c r="P29">
        <v>0.98099999999999998</v>
      </c>
      <c r="Q29">
        <v>20.309999999999999</v>
      </c>
      <c r="R29">
        <v>23746</v>
      </c>
      <c r="S29">
        <v>0</v>
      </c>
      <c r="T29" s="2">
        <v>7</v>
      </c>
      <c r="U29">
        <v>1</v>
      </c>
      <c r="V29">
        <v>2</v>
      </c>
      <c r="W29">
        <v>3</v>
      </c>
      <c r="X29">
        <v>0</v>
      </c>
      <c r="Y29" s="9">
        <v>1.0426018159218358</v>
      </c>
      <c r="Z29" s="9">
        <v>1.0500837221574928</v>
      </c>
      <c r="AA29">
        <f>Table375[[#This Row],[dem_rep_ratio_16]]-Table375[[#This Row],[dem_rep_ratio_20]]</f>
        <v>-7.4819062356570321E-3</v>
      </c>
      <c r="AB29">
        <v>1486.2267629999999</v>
      </c>
      <c r="AC29">
        <v>12.9</v>
      </c>
    </row>
    <row r="30" spans="1:29">
      <c r="A30" t="s">
        <v>140</v>
      </c>
      <c r="B30">
        <v>93.3</v>
      </c>
      <c r="C30">
        <v>37.6</v>
      </c>
      <c r="D30">
        <v>263</v>
      </c>
      <c r="E30">
        <v>1</v>
      </c>
      <c r="F30">
        <v>73</v>
      </c>
      <c r="G30">
        <v>33</v>
      </c>
      <c r="H30">
        <v>279</v>
      </c>
      <c r="I30">
        <v>1</v>
      </c>
      <c r="J30">
        <v>70</v>
      </c>
      <c r="K30">
        <v>29</v>
      </c>
      <c r="L30">
        <v>1</v>
      </c>
      <c r="M30">
        <v>9477.17</v>
      </c>
      <c r="N30">
        <v>2379.6</v>
      </c>
      <c r="O30">
        <v>685.13</v>
      </c>
      <c r="P30">
        <v>0.95799999999999996</v>
      </c>
      <c r="Q30">
        <v>11.42</v>
      </c>
      <c r="R30">
        <v>14799.9</v>
      </c>
      <c r="S30">
        <f>450+5*945+3*990</f>
        <v>8145</v>
      </c>
      <c r="T30" s="3">
        <v>6</v>
      </c>
      <c r="U30">
        <v>0</v>
      </c>
      <c r="V30">
        <v>1</v>
      </c>
      <c r="W30">
        <v>3</v>
      </c>
      <c r="X30">
        <v>0</v>
      </c>
      <c r="Y30" s="9">
        <v>1.0238082812526155</v>
      </c>
      <c r="Z30" s="9">
        <v>1.2329745471511586</v>
      </c>
      <c r="AA30">
        <f>Table375[[#This Row],[dem_rep_ratio_16]]-Table375[[#This Row],[dem_rep_ratio_20]]</f>
        <v>-0.20916626589854315</v>
      </c>
      <c r="AB30">
        <v>2485.9850889999998</v>
      </c>
      <c r="AC30">
        <v>7.6</v>
      </c>
    </row>
    <row r="31" spans="1:29">
      <c r="A31" t="s">
        <v>141</v>
      </c>
      <c r="B31">
        <v>90.3</v>
      </c>
      <c r="C31">
        <v>40.700000000000003</v>
      </c>
      <c r="D31">
        <v>270</v>
      </c>
      <c r="E31">
        <v>1</v>
      </c>
      <c r="F31">
        <v>77</v>
      </c>
      <c r="G31">
        <v>42</v>
      </c>
      <c r="H31">
        <v>281</v>
      </c>
      <c r="I31">
        <v>1</v>
      </c>
      <c r="J31">
        <v>67</v>
      </c>
      <c r="K31">
        <v>33</v>
      </c>
      <c r="L31">
        <v>1</v>
      </c>
      <c r="M31">
        <v>11265.03</v>
      </c>
      <c r="N31">
        <v>2956.03</v>
      </c>
      <c r="O31">
        <v>711.03</v>
      </c>
      <c r="P31">
        <v>1.087</v>
      </c>
      <c r="Q31">
        <v>11.79</v>
      </c>
      <c r="R31">
        <v>116530.03</v>
      </c>
      <c r="S31">
        <v>0</v>
      </c>
      <c r="T31" s="3">
        <v>6</v>
      </c>
      <c r="U31">
        <v>0</v>
      </c>
      <c r="V31">
        <v>1</v>
      </c>
      <c r="W31">
        <v>3</v>
      </c>
      <c r="X31">
        <v>2</v>
      </c>
      <c r="Y31" s="9">
        <v>1.2628653337422111</v>
      </c>
      <c r="Z31" s="9">
        <v>1.3870004682968786</v>
      </c>
      <c r="AA31">
        <f>Table375[[#This Row],[dem_rep_ratio_16]]-Table375[[#This Row],[dem_rep_ratio_20]]</f>
        <v>-0.12413513455466751</v>
      </c>
      <c r="AB31">
        <v>1920.3376920000001</v>
      </c>
      <c r="AC31">
        <v>9.5</v>
      </c>
    </row>
    <row r="32" spans="1:29">
      <c r="A32" t="s">
        <v>142</v>
      </c>
      <c r="B32">
        <v>86.5</v>
      </c>
      <c r="C32">
        <v>28.1</v>
      </c>
      <c r="D32">
        <v>248</v>
      </c>
      <c r="E32">
        <v>0</v>
      </c>
      <c r="F32">
        <v>57</v>
      </c>
      <c r="G32">
        <v>18</v>
      </c>
      <c r="H32">
        <v>259</v>
      </c>
      <c r="I32">
        <v>0</v>
      </c>
      <c r="J32">
        <v>45</v>
      </c>
      <c r="K32">
        <v>13</v>
      </c>
      <c r="L32">
        <v>0</v>
      </c>
      <c r="M32">
        <v>12505.23</v>
      </c>
      <c r="N32">
        <v>1946.86</v>
      </c>
      <c r="O32">
        <v>1290.6600000000001</v>
      </c>
      <c r="P32">
        <v>0.90200000000000002</v>
      </c>
      <c r="Q32">
        <v>14.68</v>
      </c>
      <c r="R32">
        <v>21576.65</v>
      </c>
      <c r="S32">
        <f>450+6*990+2*1080</f>
        <v>8550</v>
      </c>
      <c r="T32" s="2">
        <v>5</v>
      </c>
      <c r="U32">
        <v>1</v>
      </c>
      <c r="V32">
        <v>2</v>
      </c>
      <c r="W32">
        <v>3</v>
      </c>
      <c r="X32">
        <v>3</v>
      </c>
      <c r="Y32" s="9">
        <v>1.2404604166320907</v>
      </c>
      <c r="Z32" s="9">
        <v>1.1984386437305146</v>
      </c>
      <c r="AA32">
        <f>Table375[[#This Row],[dem_rep_ratio_16]]-Table375[[#This Row],[dem_rep_ratio_20]]</f>
        <v>4.202177290157616E-2</v>
      </c>
      <c r="AB32">
        <v>1372.872175</v>
      </c>
      <c r="AC32">
        <v>19.5</v>
      </c>
    </row>
    <row r="33" spans="1:29">
      <c r="A33" t="s">
        <v>143</v>
      </c>
      <c r="B33">
        <v>87.2</v>
      </c>
      <c r="C33">
        <v>37.5</v>
      </c>
      <c r="D33">
        <v>262</v>
      </c>
      <c r="E33">
        <v>1</v>
      </c>
      <c r="F33">
        <v>70</v>
      </c>
      <c r="G33">
        <v>32</v>
      </c>
      <c r="H33">
        <v>274</v>
      </c>
      <c r="I33">
        <v>1</v>
      </c>
      <c r="J33">
        <v>60</v>
      </c>
      <c r="K33">
        <v>28</v>
      </c>
      <c r="L33">
        <v>1</v>
      </c>
      <c r="M33">
        <v>15898.78</v>
      </c>
      <c r="N33">
        <v>3817.24</v>
      </c>
      <c r="O33">
        <v>709.63</v>
      </c>
      <c r="P33">
        <v>1.149</v>
      </c>
      <c r="Q33">
        <v>12.21</v>
      </c>
      <c r="R33">
        <v>213537.44</v>
      </c>
      <c r="S33">
        <f>450+6*900+2*990</f>
        <v>7830</v>
      </c>
      <c r="T33" s="2">
        <v>6</v>
      </c>
      <c r="U33">
        <v>0</v>
      </c>
      <c r="V33">
        <v>1</v>
      </c>
      <c r="W33">
        <v>3</v>
      </c>
      <c r="X33">
        <v>3</v>
      </c>
      <c r="Y33" s="9">
        <v>2.0260018754215059</v>
      </c>
      <c r="Z33" s="9">
        <v>1.6765598303385496</v>
      </c>
      <c r="AA33">
        <f>Table375[[#This Row],[dem_rep_ratio_16]]-Table375[[#This Row],[dem_rep_ratio_20]]</f>
        <v>0.34944204508295629</v>
      </c>
      <c r="AB33">
        <v>2166.9678079999999</v>
      </c>
      <c r="AC33">
        <v>13.6</v>
      </c>
    </row>
    <row r="34" spans="1:29">
      <c r="A34" t="s">
        <v>144</v>
      </c>
      <c r="B34">
        <v>88.5</v>
      </c>
      <c r="C34">
        <v>32</v>
      </c>
      <c r="D34">
        <v>256</v>
      </c>
      <c r="E34">
        <v>0</v>
      </c>
      <c r="F34">
        <v>66</v>
      </c>
      <c r="G34">
        <v>26</v>
      </c>
      <c r="H34">
        <v>274</v>
      </c>
      <c r="I34">
        <v>1</v>
      </c>
      <c r="J34">
        <v>61</v>
      </c>
      <c r="K34">
        <v>25</v>
      </c>
      <c r="L34">
        <v>0</v>
      </c>
      <c r="M34">
        <v>9293.9500000000007</v>
      </c>
      <c r="N34">
        <v>1621.93</v>
      </c>
      <c r="O34">
        <v>1006.7</v>
      </c>
      <c r="P34">
        <v>0.93</v>
      </c>
      <c r="Q34">
        <v>14.98</v>
      </c>
      <c r="R34">
        <v>101057.02</v>
      </c>
      <c r="S34">
        <f>9*1025</f>
        <v>9225</v>
      </c>
      <c r="T34" s="2">
        <v>7</v>
      </c>
      <c r="U34">
        <v>2</v>
      </c>
      <c r="V34">
        <v>1</v>
      </c>
      <c r="W34">
        <v>3</v>
      </c>
      <c r="X34">
        <v>3</v>
      </c>
      <c r="Y34" s="9">
        <v>0.89657785420882008</v>
      </c>
      <c r="Z34" s="9">
        <v>0.98250718838031514</v>
      </c>
      <c r="AA34">
        <f>Table375[[#This Row],[dem_rep_ratio_16]]-Table375[[#This Row],[dem_rep_ratio_20]]</f>
        <v>-8.5929334171495064E-2</v>
      </c>
      <c r="AB34">
        <v>1374.9084680000001</v>
      </c>
      <c r="AC34">
        <v>14</v>
      </c>
    </row>
    <row r="35" spans="1:29">
      <c r="A35" t="s">
        <v>145</v>
      </c>
      <c r="B35">
        <v>93.1</v>
      </c>
      <c r="C35">
        <v>30.7</v>
      </c>
      <c r="D35">
        <v>258</v>
      </c>
      <c r="E35">
        <v>0</v>
      </c>
      <c r="F35">
        <v>69</v>
      </c>
      <c r="G35">
        <v>27</v>
      </c>
      <c r="H35">
        <v>278</v>
      </c>
      <c r="I35">
        <v>1</v>
      </c>
      <c r="J35">
        <v>69</v>
      </c>
      <c r="K35">
        <v>28</v>
      </c>
      <c r="L35">
        <v>0</v>
      </c>
      <c r="M35">
        <v>13688.98</v>
      </c>
      <c r="N35">
        <v>2616.38</v>
      </c>
      <c r="O35">
        <v>1585.49</v>
      </c>
      <c r="P35">
        <v>0.89200000000000002</v>
      </c>
      <c r="Q35">
        <v>12.14</v>
      </c>
      <c r="R35">
        <v>9472.82</v>
      </c>
      <c r="S35">
        <f>481+5*962+3*1050</f>
        <v>8441</v>
      </c>
      <c r="T35" s="2">
        <v>7</v>
      </c>
      <c r="U35">
        <v>1</v>
      </c>
      <c r="V35">
        <v>1</v>
      </c>
      <c r="W35">
        <v>3</v>
      </c>
      <c r="X35">
        <v>3</v>
      </c>
      <c r="Y35" s="9">
        <v>0.32276718336988336</v>
      </c>
      <c r="Z35" s="9">
        <v>0.44296625757308089</v>
      </c>
      <c r="AA35">
        <f>Table375[[#This Row],[dem_rep_ratio_16]]-Table375[[#This Row],[dem_rep_ratio_20]]</f>
        <v>-0.12019907420319753</v>
      </c>
      <c r="AB35">
        <v>2973.9221699999998</v>
      </c>
      <c r="AC35">
        <v>10.7</v>
      </c>
    </row>
    <row r="36" spans="1:29">
      <c r="A36" t="s">
        <v>146</v>
      </c>
      <c r="B36">
        <v>90.8</v>
      </c>
      <c r="C36">
        <v>28.9</v>
      </c>
      <c r="D36">
        <v>262</v>
      </c>
      <c r="E36">
        <v>1</v>
      </c>
      <c r="F36">
        <v>71</v>
      </c>
      <c r="G36">
        <v>33</v>
      </c>
      <c r="H36">
        <v>276</v>
      </c>
      <c r="I36">
        <v>1</v>
      </c>
      <c r="J36">
        <v>64</v>
      </c>
      <c r="K36">
        <v>29</v>
      </c>
      <c r="L36">
        <v>1</v>
      </c>
      <c r="M36">
        <v>10273.92</v>
      </c>
      <c r="N36">
        <v>2331.34</v>
      </c>
      <c r="O36">
        <v>691.6</v>
      </c>
      <c r="P36">
        <v>0.90900000000000003</v>
      </c>
      <c r="Q36">
        <v>16.27</v>
      </c>
      <c r="R36">
        <v>101147.65</v>
      </c>
      <c r="S36">
        <f>450+6*910+2*1001</f>
        <v>7912</v>
      </c>
      <c r="T36" s="2">
        <v>6</v>
      </c>
      <c r="U36">
        <v>1</v>
      </c>
      <c r="V36">
        <v>2</v>
      </c>
      <c r="W36">
        <v>2</v>
      </c>
      <c r="X36">
        <v>3</v>
      </c>
      <c r="Y36" s="9">
        <v>0.73089497519370306</v>
      </c>
      <c r="Z36" s="9">
        <v>0.80132571761287119</v>
      </c>
      <c r="AA36">
        <f>Table375[[#This Row],[dem_rep_ratio_16]]-Table375[[#This Row],[dem_rep_ratio_20]]</f>
        <v>-7.0430742419168135E-2</v>
      </c>
      <c r="AB36">
        <v>1631.725745</v>
      </c>
      <c r="AC36">
        <v>13.9</v>
      </c>
    </row>
    <row r="37" spans="1:29">
      <c r="A37" t="s">
        <v>147</v>
      </c>
      <c r="B37">
        <v>88.6</v>
      </c>
      <c r="C37">
        <v>26.1</v>
      </c>
      <c r="D37">
        <v>251</v>
      </c>
      <c r="E37">
        <v>0</v>
      </c>
      <c r="F37">
        <v>62</v>
      </c>
      <c r="G37">
        <v>21</v>
      </c>
      <c r="H37">
        <v>264</v>
      </c>
      <c r="I37">
        <v>0</v>
      </c>
      <c r="J37">
        <v>52</v>
      </c>
      <c r="K37">
        <v>16</v>
      </c>
      <c r="L37">
        <v>0</v>
      </c>
      <c r="M37">
        <v>8558.93</v>
      </c>
      <c r="N37">
        <v>1760.28</v>
      </c>
      <c r="O37">
        <v>966.84</v>
      </c>
      <c r="P37">
        <v>0.87</v>
      </c>
      <c r="Q37">
        <v>16.100000000000001</v>
      </c>
      <c r="R37">
        <v>43110.11</v>
      </c>
      <c r="S37">
        <f>9*1080</f>
        <v>9720</v>
      </c>
      <c r="T37" s="2">
        <v>5</v>
      </c>
      <c r="U37">
        <v>2</v>
      </c>
      <c r="V37">
        <v>2</v>
      </c>
      <c r="W37">
        <v>-1</v>
      </c>
      <c r="X37">
        <v>-1</v>
      </c>
      <c r="Y37" s="9">
        <v>0.39882745962985106</v>
      </c>
      <c r="Z37" s="9">
        <v>0.48935025849365638</v>
      </c>
      <c r="AA37">
        <f>Table375[[#This Row],[dem_rep_ratio_16]]-Table375[[#This Row],[dem_rep_ratio_20]]</f>
        <v>-9.052279886380532E-2</v>
      </c>
      <c r="AB37">
        <v>1229.11996</v>
      </c>
      <c r="AC37">
        <v>15.6</v>
      </c>
    </row>
    <row r="38" spans="1:29">
      <c r="A38" t="s">
        <v>148</v>
      </c>
      <c r="B38">
        <v>91.1</v>
      </c>
      <c r="C38">
        <v>34.4</v>
      </c>
      <c r="D38">
        <v>257</v>
      </c>
      <c r="E38">
        <v>0</v>
      </c>
      <c r="F38">
        <v>67</v>
      </c>
      <c r="G38">
        <v>28</v>
      </c>
      <c r="H38">
        <v>270</v>
      </c>
      <c r="I38">
        <v>0</v>
      </c>
      <c r="J38">
        <v>57</v>
      </c>
      <c r="K38">
        <v>22</v>
      </c>
      <c r="L38">
        <v>0</v>
      </c>
      <c r="M38">
        <v>13497.03</v>
      </c>
      <c r="N38">
        <v>2336.6799999999998</v>
      </c>
      <c r="O38">
        <v>1221.96</v>
      </c>
      <c r="P38">
        <v>0.98599999999999999</v>
      </c>
      <c r="Q38">
        <v>18.22</v>
      </c>
      <c r="R38">
        <v>30785.93</v>
      </c>
      <c r="S38">
        <f>450+8*900</f>
        <v>7650</v>
      </c>
      <c r="T38" s="2">
        <v>6</v>
      </c>
      <c r="U38">
        <v>1</v>
      </c>
      <c r="V38">
        <v>1</v>
      </c>
      <c r="W38">
        <v>2</v>
      </c>
      <c r="X38">
        <v>2</v>
      </c>
      <c r="Y38" s="9">
        <v>1.3975457480010542</v>
      </c>
      <c r="Z38" s="9">
        <v>1.3906632305020916</v>
      </c>
      <c r="AA38">
        <f>Table375[[#This Row],[dem_rep_ratio_16]]-Table375[[#This Row],[dem_rep_ratio_20]]</f>
        <v>6.8825174989626259E-3</v>
      </c>
      <c r="AB38">
        <v>1644.802463</v>
      </c>
      <c r="AC38">
        <v>12.6</v>
      </c>
    </row>
    <row r="39" spans="1:29">
      <c r="A39" t="s">
        <v>149</v>
      </c>
      <c r="B39">
        <v>91</v>
      </c>
      <c r="C39">
        <v>32.299999999999997</v>
      </c>
      <c r="D39">
        <v>259</v>
      </c>
      <c r="E39">
        <v>1</v>
      </c>
      <c r="F39">
        <v>68</v>
      </c>
      <c r="G39">
        <v>31</v>
      </c>
      <c r="H39">
        <v>274</v>
      </c>
      <c r="I39">
        <v>1</v>
      </c>
      <c r="J39">
        <v>62</v>
      </c>
      <c r="K39">
        <v>27</v>
      </c>
      <c r="L39">
        <v>1</v>
      </c>
      <c r="M39">
        <v>11337.2</v>
      </c>
      <c r="N39">
        <v>2539.5700000000002</v>
      </c>
      <c r="O39">
        <v>893.39</v>
      </c>
      <c r="P39">
        <v>0.94699999999999995</v>
      </c>
      <c r="Q39">
        <v>13.63</v>
      </c>
      <c r="R39">
        <v>125028.25</v>
      </c>
      <c r="S39">
        <f>450+6*900+2*990</f>
        <v>7830</v>
      </c>
      <c r="T39" s="2">
        <v>6</v>
      </c>
      <c r="U39">
        <v>0</v>
      </c>
      <c r="V39">
        <v>2</v>
      </c>
      <c r="W39">
        <v>3</v>
      </c>
      <c r="X39">
        <v>2</v>
      </c>
      <c r="Y39" s="9">
        <v>0.96114092764109471</v>
      </c>
      <c r="Z39" s="9">
        <v>0.99921765204869295</v>
      </c>
      <c r="AA39">
        <f>Table375[[#This Row],[dem_rep_ratio_16]]-Table375[[#This Row],[dem_rep_ratio_20]]</f>
        <v>-3.8076724407598239E-2</v>
      </c>
      <c r="AB39">
        <v>2060.8828669999998</v>
      </c>
      <c r="AC39">
        <v>12.2</v>
      </c>
    </row>
    <row r="40" spans="1:29">
      <c r="A40" t="s">
        <v>150</v>
      </c>
      <c r="B40">
        <v>89.2</v>
      </c>
      <c r="C40">
        <v>35</v>
      </c>
      <c r="D40">
        <v>259</v>
      </c>
      <c r="E40">
        <v>1</v>
      </c>
      <c r="F40">
        <v>68</v>
      </c>
      <c r="G40">
        <v>31</v>
      </c>
      <c r="H40">
        <v>270</v>
      </c>
      <c r="I40">
        <v>0</v>
      </c>
      <c r="J40">
        <v>58</v>
      </c>
      <c r="K40">
        <v>24</v>
      </c>
      <c r="L40">
        <v>0</v>
      </c>
      <c r="M40">
        <v>11947.39</v>
      </c>
      <c r="N40">
        <v>2582.8000000000002</v>
      </c>
      <c r="O40">
        <v>662.86</v>
      </c>
      <c r="P40">
        <v>0.99399999999999999</v>
      </c>
      <c r="Q40">
        <v>13.05</v>
      </c>
      <c r="R40">
        <v>10669.04</v>
      </c>
      <c r="S40">
        <f>9*1080</f>
        <v>9720</v>
      </c>
      <c r="T40" s="2">
        <v>5</v>
      </c>
      <c r="U40">
        <v>2</v>
      </c>
      <c r="V40">
        <v>2</v>
      </c>
      <c r="W40">
        <v>3</v>
      </c>
      <c r="X40">
        <v>3</v>
      </c>
      <c r="Y40" s="9">
        <v>1.6036841304016876</v>
      </c>
      <c r="Z40" s="9">
        <v>1.9986390573681561</v>
      </c>
      <c r="AA40">
        <f>Table375[[#This Row],[dem_rep_ratio_16]]-Table375[[#This Row],[dem_rep_ratio_20]]</f>
        <v>-0.3949549269664685</v>
      </c>
      <c r="AB40">
        <v>2066.3858340000002</v>
      </c>
      <c r="AC40">
        <v>12.9</v>
      </c>
    </row>
    <row r="41" spans="1:29">
      <c r="A41" t="s">
        <v>151</v>
      </c>
      <c r="B41">
        <v>88.3</v>
      </c>
      <c r="C41">
        <v>29</v>
      </c>
      <c r="D41">
        <v>254</v>
      </c>
      <c r="E41">
        <v>0</v>
      </c>
      <c r="F41">
        <v>63</v>
      </c>
      <c r="G41">
        <v>27</v>
      </c>
      <c r="H41">
        <v>269</v>
      </c>
      <c r="I41">
        <v>0</v>
      </c>
      <c r="J41">
        <v>56</v>
      </c>
      <c r="K41">
        <v>22</v>
      </c>
      <c r="L41">
        <v>0</v>
      </c>
      <c r="M41">
        <v>9586.7900000000009</v>
      </c>
      <c r="N41">
        <v>1988.59</v>
      </c>
      <c r="O41">
        <v>898.62</v>
      </c>
      <c r="P41">
        <v>0.88</v>
      </c>
      <c r="Q41">
        <v>14.28</v>
      </c>
      <c r="R41">
        <v>53702.97</v>
      </c>
      <c r="S41">
        <v>0</v>
      </c>
      <c r="T41" s="2">
        <v>5</v>
      </c>
      <c r="U41">
        <v>2</v>
      </c>
      <c r="V41">
        <v>2</v>
      </c>
      <c r="W41">
        <v>2</v>
      </c>
      <c r="X41">
        <v>1</v>
      </c>
      <c r="Y41" s="9">
        <v>0.65113547213099143</v>
      </c>
      <c r="Z41" s="9">
        <v>0.78695171786190488</v>
      </c>
      <c r="AA41">
        <f>Table375[[#This Row],[dem_rep_ratio_16]]-Table375[[#This Row],[dem_rep_ratio_20]]</f>
        <v>-0.13581624573091344</v>
      </c>
      <c r="AB41">
        <v>1427.6037309999999</v>
      </c>
      <c r="AC41">
        <v>15.3</v>
      </c>
    </row>
    <row r="42" spans="1:29">
      <c r="A42" t="s">
        <v>152</v>
      </c>
      <c r="B42">
        <v>92.2</v>
      </c>
      <c r="C42">
        <v>29.3</v>
      </c>
      <c r="D42">
        <v>262</v>
      </c>
      <c r="E42">
        <v>1</v>
      </c>
      <c r="F42">
        <v>73</v>
      </c>
      <c r="G42">
        <v>31</v>
      </c>
      <c r="H42">
        <v>281</v>
      </c>
      <c r="I42">
        <v>1</v>
      </c>
      <c r="J42">
        <v>72</v>
      </c>
      <c r="K42">
        <v>32</v>
      </c>
      <c r="L42">
        <v>1</v>
      </c>
      <c r="M42">
        <v>9656.2999999999993</v>
      </c>
      <c r="N42">
        <v>1994.54</v>
      </c>
      <c r="O42">
        <v>847.65</v>
      </c>
      <c r="P42">
        <v>0.83199999999999996</v>
      </c>
      <c r="Q42">
        <v>13.93</v>
      </c>
      <c r="R42">
        <v>10020.18</v>
      </c>
      <c r="S42">
        <f>438+5*875+3*968</f>
        <v>7717</v>
      </c>
      <c r="T42" s="2">
        <v>5</v>
      </c>
      <c r="U42">
        <v>1</v>
      </c>
      <c r="V42">
        <v>2</v>
      </c>
      <c r="W42">
        <v>3</v>
      </c>
      <c r="X42">
        <v>1</v>
      </c>
      <c r="Y42" s="9">
        <v>0.48522453450164293</v>
      </c>
      <c r="Z42" s="9">
        <v>0.3426882930525022</v>
      </c>
      <c r="AA42">
        <f>Table375[[#This Row],[dem_rep_ratio_16]]-Table375[[#This Row],[dem_rep_ratio_20]]</f>
        <v>0.14253624144914073</v>
      </c>
      <c r="AB42">
        <v>2077.3674620000002</v>
      </c>
      <c r="AC42">
        <v>13.1</v>
      </c>
    </row>
    <row r="43" spans="1:29">
      <c r="A43" t="s">
        <v>153</v>
      </c>
      <c r="B43">
        <v>88.2</v>
      </c>
      <c r="C43">
        <v>28.2</v>
      </c>
      <c r="D43">
        <v>258</v>
      </c>
      <c r="E43">
        <v>0</v>
      </c>
      <c r="F43">
        <v>67</v>
      </c>
      <c r="G43">
        <v>28</v>
      </c>
      <c r="H43">
        <v>272</v>
      </c>
      <c r="I43">
        <v>0</v>
      </c>
      <c r="J43">
        <v>60</v>
      </c>
      <c r="K43">
        <v>25</v>
      </c>
      <c r="L43">
        <v>0</v>
      </c>
      <c r="M43">
        <v>8062.08</v>
      </c>
      <c r="N43">
        <v>1550.68</v>
      </c>
      <c r="O43">
        <v>569.46</v>
      </c>
      <c r="P43">
        <v>0.9</v>
      </c>
      <c r="Q43">
        <v>15.24</v>
      </c>
      <c r="R43">
        <v>64667.05</v>
      </c>
      <c r="S43">
        <v>0</v>
      </c>
      <c r="T43" s="2">
        <v>6</v>
      </c>
      <c r="U43">
        <v>2</v>
      </c>
      <c r="V43">
        <v>2</v>
      </c>
      <c r="W43">
        <v>3</v>
      </c>
      <c r="X43">
        <v>1</v>
      </c>
      <c r="Y43" s="9">
        <v>0.55852273951532572</v>
      </c>
      <c r="Z43" s="9">
        <v>0.61166562799331281</v>
      </c>
      <c r="AA43">
        <f>Table375[[#This Row],[dem_rep_ratio_16]]-Table375[[#This Row],[dem_rep_ratio_20]]</f>
        <v>-5.3142888477987094E-2</v>
      </c>
      <c r="AB43">
        <v>1426.9746439999999</v>
      </c>
      <c r="AC43">
        <v>15.3</v>
      </c>
    </row>
    <row r="44" spans="1:29">
      <c r="A44" t="s">
        <v>154</v>
      </c>
      <c r="B44">
        <v>84.4</v>
      </c>
      <c r="C44">
        <v>30.7</v>
      </c>
      <c r="D44">
        <v>255</v>
      </c>
      <c r="E44">
        <v>0</v>
      </c>
      <c r="F44">
        <v>66</v>
      </c>
      <c r="G44">
        <v>23</v>
      </c>
      <c r="H44">
        <v>273</v>
      </c>
      <c r="I44">
        <v>1</v>
      </c>
      <c r="J44">
        <v>61</v>
      </c>
      <c r="K44">
        <v>24</v>
      </c>
      <c r="L44">
        <v>0</v>
      </c>
      <c r="M44">
        <v>9579.43</v>
      </c>
      <c r="N44">
        <v>2217.65</v>
      </c>
      <c r="O44">
        <v>1082.45</v>
      </c>
      <c r="P44">
        <v>0.98799999999999999</v>
      </c>
      <c r="Q44">
        <v>14.49</v>
      </c>
      <c r="R44">
        <v>370718.5</v>
      </c>
      <c r="S44">
        <f>9*1260</f>
        <v>11340</v>
      </c>
      <c r="T44" s="2">
        <v>6</v>
      </c>
      <c r="U44">
        <v>1</v>
      </c>
      <c r="V44">
        <v>1</v>
      </c>
      <c r="W44">
        <v>3</v>
      </c>
      <c r="X44">
        <v>3</v>
      </c>
      <c r="Y44" s="9">
        <v>0.73603044427424524</v>
      </c>
      <c r="Z44" s="9">
        <v>0.84614890111058227</v>
      </c>
      <c r="AA44">
        <f>Table375[[#This Row],[dem_rep_ratio_16]]-Table375[[#This Row],[dem_rep_ratio_20]]</f>
        <v>-0.11011845683633703</v>
      </c>
      <c r="AB44">
        <v>1350.74478</v>
      </c>
      <c r="AC44">
        <v>14.9</v>
      </c>
    </row>
    <row r="45" spans="1:29">
      <c r="A45" t="s">
        <v>155</v>
      </c>
      <c r="B45">
        <v>93</v>
      </c>
      <c r="C45">
        <v>34.700000000000003</v>
      </c>
      <c r="D45">
        <v>265</v>
      </c>
      <c r="E45">
        <v>1</v>
      </c>
      <c r="F45">
        <v>75</v>
      </c>
      <c r="G45">
        <v>36</v>
      </c>
      <c r="H45">
        <v>282</v>
      </c>
      <c r="I45">
        <v>1</v>
      </c>
      <c r="J45">
        <v>70</v>
      </c>
      <c r="K45">
        <v>35</v>
      </c>
      <c r="L45">
        <v>1</v>
      </c>
      <c r="M45">
        <v>10539.11</v>
      </c>
      <c r="N45">
        <v>1919.88</v>
      </c>
      <c r="O45">
        <v>1718.27</v>
      </c>
      <c r="P45">
        <v>0.91100000000000003</v>
      </c>
      <c r="Q45">
        <v>-1</v>
      </c>
      <c r="R45">
        <v>-1</v>
      </c>
      <c r="S45">
        <f>9*990</f>
        <v>8910</v>
      </c>
      <c r="T45" s="2">
        <v>6</v>
      </c>
      <c r="U45">
        <v>1</v>
      </c>
      <c r="V45">
        <v>1</v>
      </c>
      <c r="W45">
        <v>3</v>
      </c>
      <c r="X45">
        <v>2</v>
      </c>
      <c r="Y45" s="9">
        <v>0.48779635552189987</v>
      </c>
      <c r="Z45" s="9">
        <v>0.61330800863049306</v>
      </c>
      <c r="AA45">
        <f>Table375[[#This Row],[dem_rep_ratio_16]]-Table375[[#This Row],[dem_rep_ratio_20]]</f>
        <v>-0.12551165310859319</v>
      </c>
      <c r="AB45">
        <v>1386.038863</v>
      </c>
      <c r="AC45">
        <v>9</v>
      </c>
    </row>
    <row r="46" spans="1:29">
      <c r="A46" t="s">
        <v>156</v>
      </c>
      <c r="B46">
        <v>93.5</v>
      </c>
      <c r="C46">
        <v>39.700000000000003</v>
      </c>
      <c r="D46">
        <v>264</v>
      </c>
      <c r="E46">
        <v>1</v>
      </c>
      <c r="F46">
        <v>73</v>
      </c>
      <c r="G46">
        <v>34</v>
      </c>
      <c r="H46">
        <v>276</v>
      </c>
      <c r="I46">
        <v>1</v>
      </c>
      <c r="J46">
        <v>66</v>
      </c>
      <c r="K46">
        <v>27</v>
      </c>
      <c r="L46">
        <v>1</v>
      </c>
      <c r="M46">
        <v>13678.43</v>
      </c>
      <c r="N46">
        <v>2943.96</v>
      </c>
      <c r="O46">
        <v>1284.6199999999999</v>
      </c>
      <c r="P46">
        <v>0.88700000000000001</v>
      </c>
      <c r="Q46">
        <v>10.31</v>
      </c>
      <c r="R46">
        <v>7989.43</v>
      </c>
      <c r="S46">
        <v>0</v>
      </c>
      <c r="T46" s="2">
        <v>6</v>
      </c>
      <c r="U46">
        <v>1</v>
      </c>
      <c r="V46">
        <v>0</v>
      </c>
      <c r="W46">
        <v>3</v>
      </c>
      <c r="X46">
        <v>0</v>
      </c>
      <c r="Y46" s="9">
        <v>3.1920143111262975</v>
      </c>
      <c r="Z46" s="9">
        <v>2.3097096876288759</v>
      </c>
      <c r="AA46">
        <f>Table375[[#This Row],[dem_rep_ratio_16]]-Table375[[#This Row],[dem_rep_ratio_20]]</f>
        <v>0.88230462349742167</v>
      </c>
      <c r="AB46">
        <v>3589.2073850000002</v>
      </c>
      <c r="AC46">
        <v>11</v>
      </c>
    </row>
    <row r="47" spans="1:29">
      <c r="A47" t="s">
        <v>157</v>
      </c>
      <c r="B47">
        <v>90.3</v>
      </c>
      <c r="C47">
        <v>39.5</v>
      </c>
      <c r="D47">
        <v>260</v>
      </c>
      <c r="E47">
        <v>1</v>
      </c>
      <c r="F47">
        <v>69</v>
      </c>
      <c r="G47">
        <v>31</v>
      </c>
      <c r="H47">
        <v>279</v>
      </c>
      <c r="I47">
        <v>1</v>
      </c>
      <c r="J47">
        <v>65</v>
      </c>
      <c r="K47">
        <v>31</v>
      </c>
      <c r="L47">
        <v>1</v>
      </c>
      <c r="M47">
        <v>10500.88</v>
      </c>
      <c r="N47">
        <v>2209.63</v>
      </c>
      <c r="O47">
        <v>1019.72</v>
      </c>
      <c r="P47">
        <v>1.0329999999999999</v>
      </c>
      <c r="Q47">
        <v>14.38</v>
      </c>
      <c r="R47">
        <v>87049.37</v>
      </c>
      <c r="S47">
        <f>540+8*990</f>
        <v>8460</v>
      </c>
      <c r="T47" s="2">
        <v>5</v>
      </c>
      <c r="U47">
        <v>2</v>
      </c>
      <c r="V47">
        <v>2</v>
      </c>
      <c r="W47">
        <v>3</v>
      </c>
      <c r="X47">
        <v>1</v>
      </c>
      <c r="Y47" s="9">
        <v>1.0632384698153858</v>
      </c>
      <c r="Z47" s="9">
        <v>1.2001556458461469</v>
      </c>
      <c r="AA47">
        <f>Table375[[#This Row],[dem_rep_ratio_16]]-Table375[[#This Row],[dem_rep_ratio_20]]</f>
        <v>-0.13691717603076103</v>
      </c>
      <c r="AB47">
        <v>1451.3927570000001</v>
      </c>
      <c r="AC47">
        <v>10.7</v>
      </c>
    </row>
    <row r="48" spans="1:29">
      <c r="A48" t="s">
        <v>158</v>
      </c>
      <c r="B48">
        <v>91.7</v>
      </c>
      <c r="C48">
        <v>36.700000000000003</v>
      </c>
      <c r="D48">
        <v>262</v>
      </c>
      <c r="E48">
        <v>1</v>
      </c>
      <c r="F48">
        <v>71</v>
      </c>
      <c r="G48">
        <v>32</v>
      </c>
      <c r="H48">
        <v>276</v>
      </c>
      <c r="I48">
        <v>1</v>
      </c>
      <c r="J48">
        <v>64</v>
      </c>
      <c r="K48">
        <v>28</v>
      </c>
      <c r="L48">
        <v>1</v>
      </c>
      <c r="M48">
        <v>11963.74</v>
      </c>
      <c r="N48">
        <v>2649.16</v>
      </c>
      <c r="O48">
        <v>994.14</v>
      </c>
      <c r="P48">
        <v>1.1000000000000001</v>
      </c>
      <c r="Q48">
        <v>17.59</v>
      </c>
      <c r="R48">
        <v>61810.07</v>
      </c>
      <c r="S48">
        <f>450+8*1000</f>
        <v>8450</v>
      </c>
      <c r="T48" s="2">
        <v>8</v>
      </c>
      <c r="U48">
        <v>2</v>
      </c>
      <c r="V48">
        <v>1</v>
      </c>
      <c r="W48">
        <v>3</v>
      </c>
      <c r="X48">
        <v>2</v>
      </c>
      <c r="Y48" s="9">
        <v>1.363214378250621</v>
      </c>
      <c r="Z48" s="9">
        <v>1.5047402835767825</v>
      </c>
      <c r="AA48">
        <f>Table375[[#This Row],[dem_rep_ratio_16]]-Table375[[#This Row],[dem_rep_ratio_20]]</f>
        <v>-0.14152590532616149</v>
      </c>
      <c r="AB48">
        <v>1462.839401</v>
      </c>
      <c r="AC48">
        <v>10.3</v>
      </c>
    </row>
    <row r="49" spans="1:29">
      <c r="A49" t="s">
        <v>159</v>
      </c>
      <c r="B49">
        <v>87.6</v>
      </c>
      <c r="C49">
        <v>21.3</v>
      </c>
      <c r="D49">
        <v>249</v>
      </c>
      <c r="E49">
        <v>0</v>
      </c>
      <c r="F49">
        <v>60</v>
      </c>
      <c r="G49">
        <v>22</v>
      </c>
      <c r="H49">
        <v>260</v>
      </c>
      <c r="I49">
        <v>0</v>
      </c>
      <c r="J49">
        <v>48</v>
      </c>
      <c r="K49">
        <v>15</v>
      </c>
      <c r="L49">
        <v>0</v>
      </c>
      <c r="M49">
        <v>10313.200000000001</v>
      </c>
      <c r="N49">
        <v>1878.02</v>
      </c>
      <c r="O49">
        <v>981.02</v>
      </c>
      <c r="P49">
        <v>0.80400000000000005</v>
      </c>
      <c r="Q49">
        <v>13.63</v>
      </c>
      <c r="R49">
        <v>18629.990000000002</v>
      </c>
      <c r="S49">
        <v>0</v>
      </c>
      <c r="T49" s="2">
        <v>6</v>
      </c>
      <c r="U49">
        <v>2</v>
      </c>
      <c r="V49">
        <v>2</v>
      </c>
      <c r="W49">
        <v>3</v>
      </c>
      <c r="X49">
        <v>3</v>
      </c>
      <c r="Y49" s="9">
        <v>0.44226060266184924</v>
      </c>
      <c r="Z49" s="9">
        <v>0.43133238421408943</v>
      </c>
      <c r="AA49">
        <f>Table375[[#This Row],[dem_rep_ratio_16]]-Table375[[#This Row],[dem_rep_ratio_20]]</f>
        <v>1.0928218447759819E-2</v>
      </c>
      <c r="AB49">
        <v>1644.337217</v>
      </c>
      <c r="AC49">
        <v>17.8</v>
      </c>
    </row>
    <row r="50" spans="1:29">
      <c r="A50" t="s">
        <v>160</v>
      </c>
      <c r="B50">
        <v>92.6</v>
      </c>
      <c r="C50">
        <v>30.8</v>
      </c>
      <c r="D50">
        <v>262</v>
      </c>
      <c r="E50">
        <v>1</v>
      </c>
      <c r="F50">
        <v>72</v>
      </c>
      <c r="G50">
        <v>32</v>
      </c>
      <c r="H50">
        <v>281</v>
      </c>
      <c r="I50">
        <v>1</v>
      </c>
      <c r="J50">
        <v>70</v>
      </c>
      <c r="K50">
        <v>33</v>
      </c>
      <c r="L50">
        <v>1</v>
      </c>
      <c r="M50">
        <v>10340.48</v>
      </c>
      <c r="N50">
        <v>2185.96</v>
      </c>
      <c r="O50">
        <v>1019.72</v>
      </c>
      <c r="P50">
        <v>0.91100000000000003</v>
      </c>
      <c r="Q50">
        <v>13.81</v>
      </c>
      <c r="R50">
        <v>60091.66</v>
      </c>
      <c r="S50">
        <f>437+6*1050+2*1137</f>
        <v>9011</v>
      </c>
      <c r="T50" s="2">
        <v>6</v>
      </c>
      <c r="U50">
        <v>1</v>
      </c>
      <c r="V50">
        <v>1</v>
      </c>
      <c r="W50">
        <v>3</v>
      </c>
      <c r="X50">
        <v>2</v>
      </c>
      <c r="Y50" s="9">
        <v>0.99707174477994642</v>
      </c>
      <c r="Z50" s="9">
        <v>0.977366919928365</v>
      </c>
      <c r="AA50">
        <f>Table375[[#This Row],[dem_rep_ratio_16]]-Table375[[#This Row],[dem_rep_ratio_20]]</f>
        <v>1.9704824851581426E-2</v>
      </c>
      <c r="AB50">
        <v>1670.629124</v>
      </c>
      <c r="AC50">
        <v>11</v>
      </c>
    </row>
    <row r="51" spans="1:29" ht="15.75" thickBot="1">
      <c r="A51" t="s">
        <v>161</v>
      </c>
      <c r="B51">
        <v>93.6</v>
      </c>
      <c r="C51">
        <v>28.2</v>
      </c>
      <c r="D51">
        <v>261</v>
      </c>
      <c r="E51">
        <v>1</v>
      </c>
      <c r="F51">
        <v>71</v>
      </c>
      <c r="G51">
        <v>30</v>
      </c>
      <c r="H51">
        <v>281</v>
      </c>
      <c r="I51">
        <v>1</v>
      </c>
      <c r="J51">
        <v>72</v>
      </c>
      <c r="K51">
        <v>31</v>
      </c>
      <c r="L51">
        <v>1</v>
      </c>
      <c r="M51">
        <v>17174.830000000002</v>
      </c>
      <c r="N51">
        <v>3192.67</v>
      </c>
      <c r="O51">
        <v>1664.52</v>
      </c>
      <c r="P51">
        <v>0.84799999999999998</v>
      </c>
      <c r="Q51">
        <v>12.33</v>
      </c>
      <c r="R51">
        <v>7521.73</v>
      </c>
      <c r="S51">
        <f>450+5*900+3*1050</f>
        <v>8100</v>
      </c>
      <c r="T51" s="4">
        <v>7</v>
      </c>
      <c r="U51">
        <v>1</v>
      </c>
      <c r="V51">
        <v>0</v>
      </c>
      <c r="W51">
        <v>0</v>
      </c>
      <c r="X51">
        <v>0</v>
      </c>
      <c r="Y51" s="9">
        <v>0.39758314554061613</v>
      </c>
      <c r="Z51" s="9">
        <v>0.37034349340394984</v>
      </c>
      <c r="AA51">
        <f>Table375[[#This Row],[dem_rep_ratio_16]]-Table375[[#This Row],[dem_rep_ratio_20]]</f>
        <v>2.7239652136666292E-2</v>
      </c>
      <c r="AB51">
        <v>3145.3173550000001</v>
      </c>
      <c r="AC51">
        <v>11.1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5A0D-20D2-4D17-9ED0-CF32EEC18852}">
  <dimension ref="A1:AD47"/>
  <sheetViews>
    <sheetView workbookViewId="0">
      <pane xSplit="1" ySplit="1" topLeftCell="B23" activePane="bottomRight" state="frozen"/>
      <selection pane="bottomRight" activeCell="D52" sqref="D52"/>
      <selection pane="bottomLeft" activeCell="A2" sqref="A2"/>
      <selection pane="topRight" activeCell="B1" sqref="B1"/>
    </sheetView>
  </sheetViews>
  <sheetFormatPr defaultRowHeight="15"/>
  <cols>
    <col min="1" max="1" width="15.28515625" bestFit="1" customWidth="1"/>
    <col min="2" max="2" width="9.140625" customWidth="1"/>
    <col min="3" max="3" width="9.28515625" customWidth="1"/>
    <col min="4" max="4" width="11.28515625" bestFit="1" customWidth="1"/>
    <col min="5" max="5" width="17.5703125" bestFit="1" customWidth="1"/>
    <col min="6" max="6" width="16.85546875" bestFit="1" customWidth="1"/>
    <col min="7" max="7" width="16.140625" bestFit="1" customWidth="1"/>
    <col min="8" max="8" width="11.85546875" bestFit="1" customWidth="1"/>
    <col min="9" max="9" width="18.140625" bestFit="1" customWidth="1"/>
    <col min="10" max="10" width="17.42578125" bestFit="1" customWidth="1"/>
    <col min="11" max="11" width="16.7109375" bestFit="1" customWidth="1"/>
    <col min="12" max="12" width="16.42578125" customWidth="1"/>
    <col min="13" max="13" width="14.28515625" customWidth="1"/>
    <col min="14" max="14" width="17.5703125" customWidth="1"/>
    <col min="15" max="15" width="19.140625" customWidth="1"/>
    <col min="16" max="16" width="14" customWidth="1"/>
    <col min="17" max="17" width="17.5703125" customWidth="1"/>
    <col min="18" max="18" width="18.5703125" customWidth="1"/>
    <col min="19" max="19" width="19.140625" customWidth="1"/>
    <col min="20" max="20" width="20.140625" customWidth="1"/>
    <col min="21" max="21" width="15" customWidth="1"/>
    <col min="22" max="22" width="18.85546875" customWidth="1"/>
    <col min="23" max="23" width="21.140625" customWidth="1"/>
    <col min="24" max="24" width="22.42578125" customWidth="1"/>
    <col min="25" max="26" width="23" bestFit="1" customWidth="1"/>
    <col min="27" max="27" width="12.7109375" bestFit="1" customWidth="1"/>
    <col min="28" max="28" width="19.42578125" customWidth="1"/>
    <col min="29" max="29" width="12.85546875" customWidth="1"/>
  </cols>
  <sheetData>
    <row r="1" spans="1:30">
      <c r="A1" t="s">
        <v>6</v>
      </c>
      <c r="B1" t="s">
        <v>10</v>
      </c>
      <c r="C1" t="s">
        <v>16</v>
      </c>
      <c r="D1" t="s">
        <v>18</v>
      </c>
      <c r="E1" t="s">
        <v>23</v>
      </c>
      <c r="F1" t="s">
        <v>26</v>
      </c>
      <c r="G1" t="s">
        <v>28</v>
      </c>
      <c r="H1" t="s">
        <v>30</v>
      </c>
      <c r="I1" t="s">
        <v>32</v>
      </c>
      <c r="J1" t="s">
        <v>34</v>
      </c>
      <c r="K1" t="s">
        <v>36</v>
      </c>
      <c r="L1" t="s">
        <v>37</v>
      </c>
      <c r="M1" t="s">
        <v>39</v>
      </c>
      <c r="N1" t="s">
        <v>44</v>
      </c>
      <c r="O1" t="s">
        <v>47</v>
      </c>
      <c r="P1" t="s">
        <v>50</v>
      </c>
      <c r="Q1" t="s">
        <v>55</v>
      </c>
      <c r="R1" t="s">
        <v>60</v>
      </c>
      <c r="S1" t="s">
        <v>63</v>
      </c>
      <c r="T1" t="s">
        <v>68</v>
      </c>
      <c r="U1" t="s">
        <v>71</v>
      </c>
      <c r="V1" t="s">
        <v>74</v>
      </c>
      <c r="W1" t="s">
        <v>77</v>
      </c>
      <c r="X1" t="s">
        <v>81</v>
      </c>
      <c r="Y1" s="8" t="s">
        <v>84</v>
      </c>
      <c r="Z1" s="8" t="s">
        <v>89</v>
      </c>
      <c r="AA1" t="s">
        <v>93</v>
      </c>
      <c r="AB1" t="s">
        <v>98</v>
      </c>
      <c r="AC1" t="s">
        <v>103</v>
      </c>
      <c r="AD1" s="1"/>
    </row>
    <row r="2" spans="1:30">
      <c r="A2" t="s">
        <v>111</v>
      </c>
      <c r="B2">
        <v>86.9</v>
      </c>
      <c r="C2">
        <v>26.2</v>
      </c>
      <c r="D2">
        <v>251</v>
      </c>
      <c r="E2">
        <v>0</v>
      </c>
      <c r="F2">
        <v>61</v>
      </c>
      <c r="G2">
        <v>22</v>
      </c>
      <c r="H2">
        <v>264</v>
      </c>
      <c r="I2">
        <v>0</v>
      </c>
      <c r="J2">
        <v>53</v>
      </c>
      <c r="K2">
        <v>19</v>
      </c>
      <c r="L2">
        <v>0</v>
      </c>
      <c r="M2">
        <v>9366.2099999999991</v>
      </c>
      <c r="N2">
        <v>1758.33</v>
      </c>
      <c r="O2">
        <v>1193.6099999999999</v>
      </c>
      <c r="P2">
        <v>0.875</v>
      </c>
      <c r="Q2">
        <v>17.350000000000001</v>
      </c>
      <c r="R2">
        <v>42335.96</v>
      </c>
      <c r="S2">
        <f>1080*9</f>
        <v>9720</v>
      </c>
      <c r="T2" s="2">
        <v>6</v>
      </c>
      <c r="U2">
        <v>2</v>
      </c>
      <c r="V2">
        <v>1</v>
      </c>
      <c r="W2">
        <v>3</v>
      </c>
      <c r="X2">
        <v>3</v>
      </c>
      <c r="Y2" s="9">
        <v>0.54192585650376723</v>
      </c>
      <c r="Z2" s="9"/>
      <c r="AA2">
        <f>Table373[[#This Row],[dem_rep_ratio_16]]-Table373[[#This Row],[dem_rep_ratio_20]]</f>
        <v>0.54192585650376723</v>
      </c>
      <c r="AB2">
        <v>1382.2275380000001</v>
      </c>
      <c r="AC2">
        <v>16.8</v>
      </c>
    </row>
    <row r="3" spans="1:30">
      <c r="A3" t="s">
        <v>112</v>
      </c>
      <c r="B3">
        <v>93.1</v>
      </c>
      <c r="C3">
        <v>30</v>
      </c>
      <c r="D3">
        <v>253</v>
      </c>
      <c r="E3">
        <v>0</v>
      </c>
      <c r="F3">
        <v>63</v>
      </c>
      <c r="G3">
        <v>26</v>
      </c>
      <c r="H3">
        <v>270</v>
      </c>
      <c r="I3">
        <v>0</v>
      </c>
      <c r="J3">
        <v>59</v>
      </c>
      <c r="K3">
        <v>23</v>
      </c>
      <c r="L3">
        <v>0</v>
      </c>
      <c r="M3">
        <v>18719.45</v>
      </c>
      <c r="N3">
        <v>3448.06</v>
      </c>
      <c r="O3">
        <v>864.32</v>
      </c>
      <c r="P3">
        <v>1.014</v>
      </c>
      <c r="Q3">
        <v>17.18</v>
      </c>
      <c r="R3">
        <v>7558.21</v>
      </c>
      <c r="S3">
        <f>(4*740)+(5*900)</f>
        <v>7460</v>
      </c>
      <c r="T3" s="2">
        <v>7</v>
      </c>
      <c r="U3">
        <v>0</v>
      </c>
      <c r="V3">
        <v>1</v>
      </c>
      <c r="W3">
        <v>3</v>
      </c>
      <c r="X3">
        <v>0</v>
      </c>
      <c r="Y3" s="9">
        <v>0.57744008199306207</v>
      </c>
      <c r="Z3" s="9">
        <v>0.80200771473283683</v>
      </c>
      <c r="AA3">
        <f>Table373[[#This Row],[dem_rep_ratio_16]]-Table373[[#This Row],[dem_rep_ratio_20]]</f>
        <v>-0.22456763273977476</v>
      </c>
      <c r="AB3">
        <v>2532.1269649999999</v>
      </c>
      <c r="AC3">
        <v>10.9</v>
      </c>
    </row>
    <row r="4" spans="1:30">
      <c r="A4" t="s">
        <v>113</v>
      </c>
      <c r="B4">
        <v>87.9</v>
      </c>
      <c r="C4">
        <v>30.3</v>
      </c>
      <c r="D4">
        <v>259</v>
      </c>
      <c r="E4">
        <v>1</v>
      </c>
      <c r="F4">
        <v>68</v>
      </c>
      <c r="G4">
        <v>28</v>
      </c>
      <c r="H4">
        <v>271</v>
      </c>
      <c r="I4">
        <v>0</v>
      </c>
      <c r="J4">
        <v>58</v>
      </c>
      <c r="K4">
        <v>24</v>
      </c>
      <c r="L4">
        <v>0</v>
      </c>
      <c r="M4">
        <v>8715.84</v>
      </c>
      <c r="N4">
        <v>1381.1</v>
      </c>
      <c r="O4">
        <v>960.17</v>
      </c>
      <c r="P4">
        <v>0.95299999999999996</v>
      </c>
      <c r="Q4">
        <v>22.43</v>
      </c>
      <c r="R4">
        <v>49546.93</v>
      </c>
      <c r="S4">
        <f>(3*712)+(5*890)</f>
        <v>6586</v>
      </c>
      <c r="T4" s="2">
        <v>6</v>
      </c>
      <c r="U4">
        <v>1</v>
      </c>
      <c r="V4">
        <v>1</v>
      </c>
      <c r="W4">
        <v>2</v>
      </c>
      <c r="X4">
        <v>1</v>
      </c>
      <c r="Y4" s="9">
        <v>0.83257500039989207</v>
      </c>
      <c r="Z4" s="9">
        <v>1.0162145041286079</v>
      </c>
      <c r="AA4">
        <f>Table373[[#This Row],[dem_rep_ratio_16]]-Table373[[#This Row],[dem_rep_ratio_20]]</f>
        <v>-0.18363950372871585</v>
      </c>
      <c r="AB4">
        <v>1509.5491910000001</v>
      </c>
      <c r="AC4">
        <v>14</v>
      </c>
    </row>
    <row r="5" spans="1:30">
      <c r="A5" t="s">
        <v>114</v>
      </c>
      <c r="B5">
        <v>87.2</v>
      </c>
      <c r="C5">
        <v>23.8</v>
      </c>
      <c r="D5">
        <v>255</v>
      </c>
      <c r="E5">
        <v>0</v>
      </c>
      <c r="F5">
        <v>64</v>
      </c>
      <c r="G5">
        <v>26</v>
      </c>
      <c r="H5">
        <v>267</v>
      </c>
      <c r="I5">
        <v>0</v>
      </c>
      <c r="J5">
        <v>55</v>
      </c>
      <c r="K5">
        <v>19</v>
      </c>
      <c r="L5">
        <v>0</v>
      </c>
      <c r="M5">
        <v>9048.91</v>
      </c>
      <c r="N5">
        <v>1881.77</v>
      </c>
      <c r="O5">
        <v>962.73</v>
      </c>
      <c r="P5">
        <v>0.89300000000000002</v>
      </c>
      <c r="Q5">
        <v>12.62</v>
      </c>
      <c r="R5">
        <v>38542.660000000003</v>
      </c>
      <c r="S5">
        <v>0</v>
      </c>
      <c r="T5" s="2">
        <v>5</v>
      </c>
      <c r="U5">
        <v>2</v>
      </c>
      <c r="V5">
        <v>2</v>
      </c>
      <c r="W5">
        <v>3</v>
      </c>
      <c r="X5">
        <v>1</v>
      </c>
      <c r="Y5" s="9">
        <v>0.42350651624779156</v>
      </c>
      <c r="Z5" s="9">
        <v>0.31661157704601006</v>
      </c>
      <c r="AA5">
        <f>Table373[[#This Row],[dem_rep_ratio_16]]-Table373[[#This Row],[dem_rep_ratio_20]]</f>
        <v>0.1068949392017815</v>
      </c>
      <c r="AB5">
        <v>1524.3198600000001</v>
      </c>
      <c r="AC5">
        <v>17.2</v>
      </c>
    </row>
    <row r="6" spans="1:30">
      <c r="A6" t="s">
        <v>115</v>
      </c>
      <c r="B6">
        <v>83.9</v>
      </c>
      <c r="C6">
        <v>34.700000000000003</v>
      </c>
      <c r="D6">
        <v>259</v>
      </c>
      <c r="E6">
        <v>1</v>
      </c>
      <c r="F6">
        <v>67</v>
      </c>
      <c r="G6">
        <v>30</v>
      </c>
      <c r="H6">
        <v>270</v>
      </c>
      <c r="I6">
        <v>0</v>
      </c>
      <c r="J6">
        <v>56</v>
      </c>
      <c r="K6">
        <v>23</v>
      </c>
      <c r="L6">
        <v>0</v>
      </c>
      <c r="M6">
        <v>14684.88</v>
      </c>
      <c r="N6">
        <v>2527.0700000000002</v>
      </c>
      <c r="O6">
        <v>1332.37</v>
      </c>
      <c r="P6">
        <v>1.173</v>
      </c>
      <c r="Q6">
        <v>22.47</v>
      </c>
      <c r="R6">
        <v>269850.03000000003</v>
      </c>
      <c r="S6">
        <f>600+3*840+5*900</f>
        <v>7620</v>
      </c>
      <c r="T6" s="2">
        <v>6</v>
      </c>
      <c r="U6">
        <v>1</v>
      </c>
      <c r="V6">
        <v>1</v>
      </c>
      <c r="W6">
        <v>3</v>
      </c>
      <c r="X6">
        <v>2</v>
      </c>
      <c r="Y6" s="9">
        <v>3.2318235292384871</v>
      </c>
      <c r="Z6" s="9">
        <v>1.905599765093454</v>
      </c>
      <c r="AA6">
        <f>Table373[[#This Row],[dem_rep_ratio_16]]-Table373[[#This Row],[dem_rep_ratio_20]]</f>
        <v>1.3262237641450332</v>
      </c>
      <c r="AB6">
        <v>1624.1554040000001</v>
      </c>
      <c r="AC6">
        <v>12.8</v>
      </c>
    </row>
    <row r="7" spans="1:30">
      <c r="A7" t="s">
        <v>116</v>
      </c>
      <c r="B7">
        <v>92.1</v>
      </c>
      <c r="C7">
        <v>41.6</v>
      </c>
      <c r="D7">
        <v>263</v>
      </c>
      <c r="E7">
        <v>1</v>
      </c>
      <c r="F7">
        <v>73</v>
      </c>
      <c r="G7">
        <v>34</v>
      </c>
      <c r="H7">
        <v>275</v>
      </c>
      <c r="I7">
        <v>1</v>
      </c>
      <c r="J7">
        <v>63</v>
      </c>
      <c r="K7">
        <v>28</v>
      </c>
      <c r="L7">
        <v>1</v>
      </c>
      <c r="M7">
        <v>11095.42</v>
      </c>
      <c r="N7">
        <v>2194.9699999999998</v>
      </c>
      <c r="O7">
        <v>1044.27</v>
      </c>
      <c r="P7">
        <v>0.97799999999999998</v>
      </c>
      <c r="Q7">
        <v>16.260000000000002</v>
      </c>
      <c r="R7">
        <v>54318.97</v>
      </c>
      <c r="S7">
        <f>450+5*990+3*1080</f>
        <v>8640</v>
      </c>
      <c r="T7" s="2">
        <v>6</v>
      </c>
      <c r="U7">
        <v>2</v>
      </c>
      <c r="V7">
        <v>1</v>
      </c>
      <c r="W7">
        <v>2</v>
      </c>
      <c r="X7">
        <v>0</v>
      </c>
      <c r="Y7" s="9">
        <v>1.0720239476368032</v>
      </c>
      <c r="Z7" s="9">
        <v>1.2497805192137663</v>
      </c>
      <c r="AA7">
        <f>Table373[[#This Row],[dem_rep_ratio_16]]-Table373[[#This Row],[dem_rep_ratio_20]]</f>
        <v>-0.17775657157696312</v>
      </c>
      <c r="AB7">
        <v>1464.453786</v>
      </c>
      <c r="AC7">
        <v>9.6</v>
      </c>
    </row>
    <row r="8" spans="1:30">
      <c r="A8" t="s">
        <v>117</v>
      </c>
      <c r="B8">
        <v>90.9</v>
      </c>
      <c r="C8">
        <v>40</v>
      </c>
      <c r="D8">
        <v>264</v>
      </c>
      <c r="E8">
        <v>1</v>
      </c>
      <c r="F8">
        <v>72</v>
      </c>
      <c r="G8">
        <v>35</v>
      </c>
      <c r="H8">
        <v>276</v>
      </c>
      <c r="I8">
        <v>1</v>
      </c>
      <c r="J8">
        <v>63</v>
      </c>
      <c r="K8">
        <v>30</v>
      </c>
      <c r="L8">
        <v>1</v>
      </c>
      <c r="M8">
        <v>10456.26</v>
      </c>
      <c r="N8">
        <v>2855.07</v>
      </c>
      <c r="O8">
        <v>970.37</v>
      </c>
      <c r="P8">
        <v>1.0720000000000001</v>
      </c>
      <c r="Q8">
        <v>11.96</v>
      </c>
      <c r="R8">
        <v>42580.2</v>
      </c>
      <c r="S8">
        <f>450+8*900</f>
        <v>7650</v>
      </c>
      <c r="T8" s="2">
        <v>5</v>
      </c>
      <c r="U8">
        <v>1</v>
      </c>
      <c r="V8">
        <v>2</v>
      </c>
      <c r="W8">
        <v>3</v>
      </c>
      <c r="X8">
        <v>0</v>
      </c>
      <c r="Y8" s="9">
        <v>1.5331592299991368</v>
      </c>
      <c r="Z8" s="9">
        <v>1.5119109480101225</v>
      </c>
      <c r="AA8">
        <f>Table373[[#This Row],[dem_rep_ratio_16]]-Table373[[#This Row],[dem_rep_ratio_20]]</f>
        <v>2.1248281989014295E-2</v>
      </c>
      <c r="AB8">
        <v>1905.166052</v>
      </c>
      <c r="AC8">
        <v>10.4</v>
      </c>
    </row>
    <row r="9" spans="1:30">
      <c r="A9" t="s">
        <v>118</v>
      </c>
      <c r="B9">
        <v>90.6</v>
      </c>
      <c r="C9">
        <v>32.700000000000003</v>
      </c>
      <c r="D9">
        <v>253</v>
      </c>
      <c r="E9">
        <v>0</v>
      </c>
      <c r="F9">
        <v>62</v>
      </c>
      <c r="G9">
        <v>24</v>
      </c>
      <c r="H9">
        <v>264</v>
      </c>
      <c r="I9">
        <v>0</v>
      </c>
      <c r="J9">
        <v>51</v>
      </c>
      <c r="K9">
        <v>18</v>
      </c>
      <c r="L9">
        <v>0</v>
      </c>
      <c r="M9">
        <v>12637.39</v>
      </c>
      <c r="N9">
        <v>2300.1799999999998</v>
      </c>
      <c r="O9">
        <v>1572.15</v>
      </c>
      <c r="P9">
        <v>1</v>
      </c>
      <c r="Q9">
        <v>14.02</v>
      </c>
      <c r="R9">
        <v>9849.93</v>
      </c>
      <c r="S9">
        <f>9*1060</f>
        <v>9540</v>
      </c>
      <c r="T9" s="2">
        <v>5</v>
      </c>
      <c r="U9">
        <v>2</v>
      </c>
      <c r="V9">
        <v>2</v>
      </c>
      <c r="W9">
        <v>3</v>
      </c>
      <c r="X9">
        <v>0</v>
      </c>
      <c r="Y9" s="9">
        <v>1.3125916268451268</v>
      </c>
      <c r="Z9" s="9">
        <v>1.4912194343871612</v>
      </c>
      <c r="AA9">
        <f>Table373[[#This Row],[dem_rep_ratio_16]]-Table373[[#This Row],[dem_rep_ratio_20]]</f>
        <v>-0.17862780754203444</v>
      </c>
      <c r="AB9">
        <v>2159.0482689999999</v>
      </c>
      <c r="AC9">
        <v>12.5</v>
      </c>
    </row>
    <row r="10" spans="1:30">
      <c r="A10" t="s">
        <v>120</v>
      </c>
      <c r="B10">
        <v>88.5</v>
      </c>
      <c r="C10">
        <v>30.5</v>
      </c>
      <c r="D10">
        <v>260</v>
      </c>
      <c r="E10">
        <v>1</v>
      </c>
      <c r="F10">
        <v>69</v>
      </c>
      <c r="G10">
        <v>29</v>
      </c>
      <c r="H10">
        <v>271</v>
      </c>
      <c r="I10">
        <v>0</v>
      </c>
      <c r="J10">
        <v>58</v>
      </c>
      <c r="K10">
        <v>23</v>
      </c>
      <c r="L10">
        <v>0</v>
      </c>
      <c r="M10">
        <v>8816.2999999999993</v>
      </c>
      <c r="N10">
        <v>1502.87</v>
      </c>
      <c r="O10">
        <v>560.80999999999995</v>
      </c>
      <c r="P10">
        <v>0.89800000000000002</v>
      </c>
      <c r="Q10">
        <v>17.3</v>
      </c>
      <c r="R10">
        <v>161413.31</v>
      </c>
      <c r="S10">
        <f>4*720+5*900</f>
        <v>7380</v>
      </c>
      <c r="T10" s="2">
        <v>6</v>
      </c>
      <c r="U10">
        <v>0</v>
      </c>
      <c r="V10">
        <v>1</v>
      </c>
      <c r="W10">
        <v>1</v>
      </c>
      <c r="X10">
        <v>2</v>
      </c>
      <c r="Y10" s="9">
        <v>0.88900919713080706</v>
      </c>
      <c r="Z10" s="9">
        <v>0.91932380400425751</v>
      </c>
      <c r="AA10">
        <f>Table373[[#This Row],[dem_rep_ratio_16]]-Table373[[#This Row],[dem_rep_ratio_20]]</f>
        <v>-3.0314606873450445E-2</v>
      </c>
      <c r="AB10">
        <v>1446.926009</v>
      </c>
      <c r="AC10">
        <v>13.6</v>
      </c>
    </row>
    <row r="11" spans="1:30">
      <c r="A11" t="s">
        <v>121</v>
      </c>
      <c r="B11">
        <v>87.9</v>
      </c>
      <c r="C11">
        <v>32.200000000000003</v>
      </c>
      <c r="D11">
        <v>260</v>
      </c>
      <c r="E11">
        <v>1</v>
      </c>
      <c r="F11">
        <v>69</v>
      </c>
      <c r="G11">
        <v>31</v>
      </c>
      <c r="H11">
        <v>271</v>
      </c>
      <c r="I11">
        <v>0</v>
      </c>
      <c r="J11">
        <v>59</v>
      </c>
      <c r="K11">
        <v>24</v>
      </c>
      <c r="L11">
        <v>0</v>
      </c>
      <c r="M11">
        <v>7971</v>
      </c>
      <c r="N11">
        <v>2115.33</v>
      </c>
      <c r="O11">
        <v>591.07000000000005</v>
      </c>
      <c r="P11">
        <v>0.97</v>
      </c>
      <c r="Q11">
        <v>14.65</v>
      </c>
      <c r="R11">
        <v>118059.1</v>
      </c>
      <c r="S11">
        <v>0</v>
      </c>
      <c r="T11" s="2">
        <v>6</v>
      </c>
      <c r="U11">
        <v>1</v>
      </c>
      <c r="V11">
        <v>1</v>
      </c>
      <c r="W11">
        <v>3</v>
      </c>
      <c r="X11">
        <v>2</v>
      </c>
      <c r="Y11" s="9">
        <v>0.76586772801918312</v>
      </c>
      <c r="Z11" s="9">
        <v>0.99486254620203596</v>
      </c>
      <c r="AA11">
        <f>Table373[[#This Row],[dem_rep_ratio_16]]-Table373[[#This Row],[dem_rep_ratio_20]]</f>
        <v>-0.22899481818285283</v>
      </c>
      <c r="AB11">
        <v>1451.6861100000001</v>
      </c>
      <c r="AC11">
        <v>14.3</v>
      </c>
    </row>
    <row r="12" spans="1:30">
      <c r="A12" t="s">
        <v>122</v>
      </c>
      <c r="B12">
        <v>92.5</v>
      </c>
      <c r="C12">
        <v>33.6</v>
      </c>
      <c r="D12">
        <v>259</v>
      </c>
      <c r="E12">
        <v>1</v>
      </c>
      <c r="F12">
        <v>68</v>
      </c>
      <c r="G12">
        <v>31</v>
      </c>
      <c r="H12">
        <v>270</v>
      </c>
      <c r="I12">
        <v>0</v>
      </c>
      <c r="J12">
        <v>58</v>
      </c>
      <c r="K12">
        <v>22</v>
      </c>
      <c r="L12">
        <v>0</v>
      </c>
      <c r="M12">
        <v>12306.36</v>
      </c>
      <c r="N12">
        <v>1556.27</v>
      </c>
      <c r="O12">
        <v>850.97</v>
      </c>
      <c r="P12">
        <v>1.0249999999999999</v>
      </c>
      <c r="Q12">
        <v>14.53</v>
      </c>
      <c r="R12">
        <v>12145.4</v>
      </c>
      <c r="S12">
        <f>1080*9</f>
        <v>9720</v>
      </c>
      <c r="T12" s="2">
        <v>5</v>
      </c>
      <c r="U12">
        <v>2</v>
      </c>
      <c r="V12">
        <v>2</v>
      </c>
      <c r="W12">
        <v>3</v>
      </c>
      <c r="X12">
        <v>0</v>
      </c>
      <c r="Y12" s="9">
        <v>2.9449113935583799</v>
      </c>
      <c r="Z12" s="9">
        <v>2.0475291056836675</v>
      </c>
      <c r="AA12">
        <f>Table373[[#This Row],[dem_rep_ratio_16]]-Table373[[#This Row],[dem_rep_ratio_20]]</f>
        <v>0.89738228787471241</v>
      </c>
      <c r="AB12">
        <v>2379.557495</v>
      </c>
      <c r="AC12">
        <v>8.8000000000000007</v>
      </c>
    </row>
    <row r="13" spans="1:30">
      <c r="A13" t="s">
        <v>123</v>
      </c>
      <c r="B13">
        <v>91.3</v>
      </c>
      <c r="C13">
        <v>28.7</v>
      </c>
      <c r="D13">
        <v>264</v>
      </c>
      <c r="E13">
        <v>1</v>
      </c>
      <c r="F13">
        <v>74</v>
      </c>
      <c r="G13">
        <v>32</v>
      </c>
      <c r="H13">
        <v>282</v>
      </c>
      <c r="I13">
        <v>1</v>
      </c>
      <c r="J13">
        <v>71</v>
      </c>
      <c r="K13">
        <v>32</v>
      </c>
      <c r="L13">
        <v>1</v>
      </c>
      <c r="M13">
        <v>8066.8</v>
      </c>
      <c r="N13">
        <v>1404.02</v>
      </c>
      <c r="O13">
        <v>640.19000000000005</v>
      </c>
      <c r="P13">
        <v>0.85299999999999998</v>
      </c>
      <c r="Q13">
        <v>17.489999999999998</v>
      </c>
      <c r="R13">
        <v>17582.259999999998</v>
      </c>
      <c r="S13">
        <f>450+3*810+5*900</f>
        <v>7380</v>
      </c>
      <c r="T13" s="2">
        <v>7</v>
      </c>
      <c r="U13">
        <v>0</v>
      </c>
      <c r="V13">
        <v>1</v>
      </c>
      <c r="W13">
        <v>2</v>
      </c>
      <c r="X13">
        <v>2</v>
      </c>
      <c r="Y13" s="9">
        <v>0.44960080146076642</v>
      </c>
      <c r="Z13" s="9">
        <v>0.50086519102523019</v>
      </c>
      <c r="AA13">
        <f>Table373[[#This Row],[dem_rep_ratio_16]]-Table373[[#This Row],[dem_rep_ratio_20]]</f>
        <v>-5.1264389564463775E-2</v>
      </c>
      <c r="AB13">
        <v>1357.613427</v>
      </c>
      <c r="AC13">
        <v>11.8</v>
      </c>
    </row>
    <row r="14" spans="1:30">
      <c r="A14" t="s">
        <v>126</v>
      </c>
      <c r="B14">
        <v>92.5</v>
      </c>
      <c r="C14">
        <v>29.3</v>
      </c>
      <c r="D14">
        <v>260</v>
      </c>
      <c r="E14">
        <v>1</v>
      </c>
      <c r="F14">
        <v>71</v>
      </c>
      <c r="G14">
        <v>29</v>
      </c>
      <c r="H14">
        <v>277</v>
      </c>
      <c r="I14">
        <v>1</v>
      </c>
      <c r="J14">
        <v>67</v>
      </c>
      <c r="K14">
        <v>28</v>
      </c>
      <c r="L14">
        <v>1</v>
      </c>
      <c r="M14">
        <v>11476.57</v>
      </c>
      <c r="N14">
        <v>2368.64</v>
      </c>
      <c r="O14">
        <v>1152.98</v>
      </c>
      <c r="P14">
        <v>0.88800000000000001</v>
      </c>
      <c r="Q14">
        <v>14.05</v>
      </c>
      <c r="R14">
        <v>36048.379999999997</v>
      </c>
      <c r="S14">
        <f>9*1080</f>
        <v>9720</v>
      </c>
      <c r="T14" s="2">
        <v>6</v>
      </c>
      <c r="U14">
        <v>1</v>
      </c>
      <c r="V14">
        <v>0</v>
      </c>
      <c r="W14">
        <v>2</v>
      </c>
      <c r="X14">
        <v>1</v>
      </c>
      <c r="Y14" s="9">
        <v>0.73897335701179023</v>
      </c>
      <c r="Z14" s="9">
        <v>0.8680837058419496</v>
      </c>
      <c r="AA14">
        <f>Table373[[#This Row],[dem_rep_ratio_16]]-Table373[[#This Row],[dem_rep_ratio_20]]</f>
        <v>-0.12911034883015937</v>
      </c>
      <c r="AB14">
        <v>1703.1324119999999</v>
      </c>
      <c r="AC14">
        <v>11.2</v>
      </c>
    </row>
    <row r="15" spans="1:30">
      <c r="A15" t="s">
        <v>127</v>
      </c>
      <c r="B15">
        <v>91.4</v>
      </c>
      <c r="C15">
        <v>33.9</v>
      </c>
      <c r="D15">
        <v>256</v>
      </c>
      <c r="E15">
        <v>0</v>
      </c>
      <c r="F15">
        <v>67</v>
      </c>
      <c r="G15">
        <v>26</v>
      </c>
      <c r="H15">
        <v>272</v>
      </c>
      <c r="I15">
        <v>0</v>
      </c>
      <c r="J15">
        <v>61</v>
      </c>
      <c r="K15">
        <v>23</v>
      </c>
      <c r="L15">
        <v>0</v>
      </c>
      <c r="M15">
        <v>10693.54</v>
      </c>
      <c r="N15">
        <v>2535.1799999999998</v>
      </c>
      <c r="O15">
        <v>1130.55</v>
      </c>
      <c r="P15">
        <v>0.86499999999999999</v>
      </c>
      <c r="Q15">
        <v>12.68</v>
      </c>
      <c r="R15">
        <v>38007.33</v>
      </c>
      <c r="S15">
        <f>465+8*1116</f>
        <v>9393</v>
      </c>
      <c r="T15" s="2">
        <v>7</v>
      </c>
      <c r="U15">
        <v>1</v>
      </c>
      <c r="V15">
        <v>0</v>
      </c>
      <c r="W15">
        <v>2</v>
      </c>
      <c r="X15">
        <v>1</v>
      </c>
      <c r="Y15" s="9">
        <v>0.53602296682834083</v>
      </c>
      <c r="Z15" s="9">
        <v>0.74677466283063165</v>
      </c>
      <c r="AA15">
        <f>Table373[[#This Row],[dem_rep_ratio_16]]-Table373[[#This Row],[dem_rep_ratio_20]]</f>
        <v>-0.21075169600229082</v>
      </c>
      <c r="AB15">
        <v>1581.615665</v>
      </c>
      <c r="AC15">
        <v>12</v>
      </c>
    </row>
    <row r="16" spans="1:30">
      <c r="A16" t="s">
        <v>128</v>
      </c>
      <c r="B16">
        <v>87.2</v>
      </c>
      <c r="C16">
        <v>25</v>
      </c>
      <c r="D16">
        <v>258</v>
      </c>
      <c r="E16">
        <v>0</v>
      </c>
      <c r="F16">
        <v>68</v>
      </c>
      <c r="G16">
        <v>29</v>
      </c>
      <c r="H16">
        <v>269</v>
      </c>
      <c r="I16">
        <v>0</v>
      </c>
      <c r="J16">
        <v>57</v>
      </c>
      <c r="K16">
        <v>21</v>
      </c>
      <c r="L16">
        <v>0</v>
      </c>
      <c r="M16">
        <v>10203.450000000001</v>
      </c>
      <c r="N16">
        <v>1755.14</v>
      </c>
      <c r="O16">
        <v>834.13</v>
      </c>
      <c r="P16">
        <v>0.85699999999999998</v>
      </c>
      <c r="Q16">
        <v>15.52</v>
      </c>
      <c r="R16">
        <v>42458.13</v>
      </c>
      <c r="S16">
        <f>9*1062</f>
        <v>9558</v>
      </c>
      <c r="T16" s="2">
        <v>6</v>
      </c>
      <c r="U16">
        <v>1</v>
      </c>
      <c r="V16">
        <v>1</v>
      </c>
      <c r="W16">
        <v>3</v>
      </c>
      <c r="X16">
        <v>3</v>
      </c>
      <c r="Y16" s="9">
        <v>0.54379197770892684</v>
      </c>
      <c r="Z16" s="9">
        <v>0.59230235032524836</v>
      </c>
      <c r="AA16">
        <f>Table373[[#This Row],[dem_rep_ratio_16]]-Table373[[#This Row],[dem_rep_ratio_20]]</f>
        <v>-4.8510372616321518E-2</v>
      </c>
      <c r="AB16">
        <v>1567.9183860000001</v>
      </c>
      <c r="AC16">
        <v>16.899999999999999</v>
      </c>
    </row>
    <row r="17" spans="1:29">
      <c r="A17" t="s">
        <v>129</v>
      </c>
      <c r="B17">
        <v>85.9</v>
      </c>
      <c r="C17">
        <v>24.9</v>
      </c>
      <c r="D17">
        <v>257</v>
      </c>
      <c r="E17">
        <v>0</v>
      </c>
      <c r="F17">
        <v>66</v>
      </c>
      <c r="G17">
        <v>27</v>
      </c>
      <c r="H17">
        <v>266</v>
      </c>
      <c r="I17">
        <v>0</v>
      </c>
      <c r="J17">
        <v>53</v>
      </c>
      <c r="K17">
        <v>19</v>
      </c>
      <c r="L17">
        <v>0</v>
      </c>
      <c r="M17">
        <v>10539.57</v>
      </c>
      <c r="N17">
        <v>1891.77</v>
      </c>
      <c r="O17">
        <v>872.75</v>
      </c>
      <c r="P17">
        <v>0.89700000000000002</v>
      </c>
      <c r="Q17">
        <v>18.07</v>
      </c>
      <c r="R17">
        <v>38368.879999999997</v>
      </c>
      <c r="S17">
        <f>9*1062</f>
        <v>9558</v>
      </c>
      <c r="T17" s="2">
        <v>7</v>
      </c>
      <c r="U17">
        <v>2</v>
      </c>
      <c r="V17">
        <v>1</v>
      </c>
      <c r="W17">
        <v>3</v>
      </c>
      <c r="X17">
        <v>3</v>
      </c>
      <c r="Y17" s="9">
        <v>0.56271459568560223</v>
      </c>
      <c r="Z17" s="9">
        <v>0.60167632534261173</v>
      </c>
      <c r="AA17">
        <f>Table373[[#This Row],[dem_rep_ratio_16]]-Table373[[#This Row],[dem_rep_ratio_20]]</f>
        <v>-3.8961729657009503E-2</v>
      </c>
      <c r="AB17">
        <v>1546.1577749999999</v>
      </c>
      <c r="AC17">
        <v>18.600000000000001</v>
      </c>
    </row>
    <row r="18" spans="1:29">
      <c r="A18" t="s">
        <v>130</v>
      </c>
      <c r="B18">
        <v>93.2</v>
      </c>
      <c r="C18">
        <v>32.5</v>
      </c>
      <c r="D18">
        <v>257</v>
      </c>
      <c r="E18">
        <v>0</v>
      </c>
      <c r="F18">
        <v>66</v>
      </c>
      <c r="G18">
        <v>29</v>
      </c>
      <c r="H18">
        <v>273</v>
      </c>
      <c r="I18">
        <v>1</v>
      </c>
      <c r="J18">
        <v>61</v>
      </c>
      <c r="K18">
        <v>24</v>
      </c>
      <c r="L18">
        <v>0</v>
      </c>
      <c r="M18">
        <v>10190.879999999999</v>
      </c>
      <c r="N18">
        <v>2279.09</v>
      </c>
      <c r="O18">
        <v>607.53</v>
      </c>
      <c r="P18">
        <v>0.86899999999999999</v>
      </c>
      <c r="Q18">
        <v>11.39</v>
      </c>
      <c r="R18">
        <v>15142.94</v>
      </c>
      <c r="S18">
        <v>0</v>
      </c>
      <c r="T18" s="2">
        <v>6</v>
      </c>
      <c r="U18">
        <v>1</v>
      </c>
      <c r="V18">
        <v>0</v>
      </c>
      <c r="W18">
        <v>3</v>
      </c>
      <c r="X18">
        <v>1</v>
      </c>
      <c r="Y18" s="9">
        <v>1.0740534456885606</v>
      </c>
      <c r="Z18" s="9">
        <v>1.1185882937696336</v>
      </c>
      <c r="AA18">
        <f>Table373[[#This Row],[dem_rep_ratio_16]]-Table373[[#This Row],[dem_rep_ratio_20]]</f>
        <v>-4.4534848081072997E-2</v>
      </c>
      <c r="AB18">
        <v>2251.6442550000002</v>
      </c>
      <c r="AC18">
        <v>11.6</v>
      </c>
    </row>
    <row r="19" spans="1:29">
      <c r="A19" t="s">
        <v>131</v>
      </c>
      <c r="B19">
        <v>90.6</v>
      </c>
      <c r="C19">
        <v>40.9</v>
      </c>
      <c r="D19">
        <v>259</v>
      </c>
      <c r="E19">
        <v>1</v>
      </c>
      <c r="F19">
        <v>67</v>
      </c>
      <c r="G19">
        <v>33</v>
      </c>
      <c r="H19">
        <v>269</v>
      </c>
      <c r="I19">
        <v>0</v>
      </c>
      <c r="J19">
        <v>54</v>
      </c>
      <c r="K19">
        <v>25</v>
      </c>
      <c r="L19">
        <v>0</v>
      </c>
      <c r="M19">
        <v>11714.11</v>
      </c>
      <c r="N19">
        <v>2475.35</v>
      </c>
      <c r="O19">
        <v>1152.21</v>
      </c>
      <c r="P19">
        <v>1.0760000000000001</v>
      </c>
      <c r="Q19">
        <v>14.17</v>
      </c>
      <c r="R19">
        <v>62276.32</v>
      </c>
      <c r="S19">
        <f>9*1080</f>
        <v>9720</v>
      </c>
      <c r="T19" s="2">
        <v>5</v>
      </c>
      <c r="U19">
        <v>2</v>
      </c>
      <c r="V19">
        <v>2</v>
      </c>
      <c r="W19">
        <v>3</v>
      </c>
      <c r="X19">
        <v>1</v>
      </c>
      <c r="Y19" s="9">
        <v>1.7284073953354873</v>
      </c>
      <c r="Z19" s="9">
        <v>1.9444442781572451</v>
      </c>
      <c r="AA19">
        <f>Table373[[#This Row],[dem_rep_ratio_16]]-Table373[[#This Row],[dem_rep_ratio_20]]</f>
        <v>-0.21603688282175781</v>
      </c>
      <c r="AB19">
        <v>2048.9481150000001</v>
      </c>
      <c r="AC19">
        <v>9</v>
      </c>
    </row>
    <row r="20" spans="1:29">
      <c r="A20" t="s">
        <v>132</v>
      </c>
      <c r="B20">
        <v>91.1</v>
      </c>
      <c r="C20">
        <v>44.5</v>
      </c>
      <c r="D20">
        <v>269</v>
      </c>
      <c r="E20">
        <v>1</v>
      </c>
      <c r="F20">
        <v>77</v>
      </c>
      <c r="G20">
        <v>40</v>
      </c>
      <c r="H20">
        <v>284</v>
      </c>
      <c r="I20">
        <v>1</v>
      </c>
      <c r="J20">
        <v>70</v>
      </c>
      <c r="K20">
        <v>35</v>
      </c>
      <c r="L20">
        <v>1</v>
      </c>
      <c r="M20">
        <v>13060.39</v>
      </c>
      <c r="N20">
        <v>2774.57</v>
      </c>
      <c r="O20">
        <v>711.51</v>
      </c>
      <c r="P20">
        <v>1.099</v>
      </c>
      <c r="Q20">
        <v>12.27</v>
      </c>
      <c r="R20">
        <v>75146.720000000001</v>
      </c>
      <c r="S20">
        <f>425+5*900+3*990</f>
        <v>7895</v>
      </c>
      <c r="T20" s="3">
        <v>6</v>
      </c>
      <c r="U20">
        <v>1</v>
      </c>
      <c r="V20">
        <v>0</v>
      </c>
      <c r="W20">
        <v>3</v>
      </c>
      <c r="X20">
        <v>2</v>
      </c>
      <c r="Y20" s="9">
        <v>2.8143155639313262</v>
      </c>
      <c r="Z20" s="9">
        <v>2.372760488940751</v>
      </c>
      <c r="AA20">
        <f>Table373[[#This Row],[dem_rep_ratio_16]]-Table373[[#This Row],[dem_rep_ratio_20]]</f>
        <v>0.44155507499057522</v>
      </c>
      <c r="AB20">
        <v>1929.4130720000001</v>
      </c>
      <c r="AC20">
        <v>10</v>
      </c>
    </row>
    <row r="21" spans="1:29">
      <c r="A21" t="s">
        <v>133</v>
      </c>
      <c r="B21">
        <v>91.3</v>
      </c>
      <c r="C21">
        <v>30</v>
      </c>
      <c r="D21">
        <v>259</v>
      </c>
      <c r="E21">
        <v>1</v>
      </c>
      <c r="F21">
        <v>68</v>
      </c>
      <c r="G21">
        <v>28</v>
      </c>
      <c r="H21">
        <v>273</v>
      </c>
      <c r="I21">
        <v>1</v>
      </c>
      <c r="J21">
        <v>60</v>
      </c>
      <c r="K21">
        <v>25</v>
      </c>
      <c r="L21">
        <v>1</v>
      </c>
      <c r="M21">
        <v>9749.81</v>
      </c>
      <c r="N21">
        <v>2006.81</v>
      </c>
      <c r="O21">
        <v>981.84</v>
      </c>
      <c r="P21">
        <v>0.91800000000000004</v>
      </c>
      <c r="Q21">
        <v>17.010000000000002</v>
      </c>
      <c r="R21">
        <v>84317.37</v>
      </c>
      <c r="S21">
        <f>9*1098</f>
        <v>9882</v>
      </c>
      <c r="T21" s="2">
        <v>6</v>
      </c>
      <c r="U21">
        <v>0</v>
      </c>
      <c r="V21">
        <v>1</v>
      </c>
      <c r="W21">
        <v>3</v>
      </c>
      <c r="X21">
        <v>2</v>
      </c>
      <c r="Y21" s="9">
        <v>0.98670644900612325</v>
      </c>
      <c r="Z21" s="9">
        <v>1.0400973910633751</v>
      </c>
      <c r="AA21">
        <f>Table373[[#This Row],[dem_rep_ratio_16]]-Table373[[#This Row],[dem_rep_ratio_20]]</f>
        <v>-5.3390942057251811E-2</v>
      </c>
      <c r="AB21">
        <v>1827.363468</v>
      </c>
      <c r="AC21">
        <v>14.1</v>
      </c>
    </row>
    <row r="22" spans="1:29">
      <c r="A22" t="s">
        <v>134</v>
      </c>
      <c r="B22">
        <v>93.4</v>
      </c>
      <c r="C22">
        <v>36.799999999999997</v>
      </c>
      <c r="D22">
        <v>260</v>
      </c>
      <c r="E22">
        <v>1</v>
      </c>
      <c r="F22">
        <v>72</v>
      </c>
      <c r="G22">
        <v>30</v>
      </c>
      <c r="H22">
        <v>280</v>
      </c>
      <c r="I22">
        <v>1</v>
      </c>
      <c r="J22">
        <v>69</v>
      </c>
      <c r="K22">
        <v>32</v>
      </c>
      <c r="L22">
        <v>1</v>
      </c>
      <c r="M22">
        <v>12009.53</v>
      </c>
      <c r="N22">
        <v>2517.73</v>
      </c>
      <c r="O22">
        <v>891.49</v>
      </c>
      <c r="P22">
        <v>1.0089999999999999</v>
      </c>
      <c r="Q22">
        <v>15.99</v>
      </c>
      <c r="R22">
        <v>54535.32</v>
      </c>
      <c r="S22">
        <f>425+6*935+2*1020</f>
        <v>8075</v>
      </c>
      <c r="T22" s="2">
        <v>7</v>
      </c>
      <c r="U22">
        <v>0</v>
      </c>
      <c r="V22">
        <v>1</v>
      </c>
      <c r="W22">
        <v>3</v>
      </c>
      <c r="X22">
        <v>1</v>
      </c>
      <c r="Y22" s="9">
        <v>1.0544351993895329</v>
      </c>
      <c r="Z22" s="9">
        <v>1.1103829902479441</v>
      </c>
      <c r="AA22">
        <f>Table373[[#This Row],[dem_rep_ratio_16]]-Table373[[#This Row],[dem_rep_ratio_20]]</f>
        <v>-5.5947790858411173E-2</v>
      </c>
      <c r="AB22">
        <v>1635.3223439999999</v>
      </c>
      <c r="AC22">
        <v>9.6</v>
      </c>
    </row>
    <row r="23" spans="1:29">
      <c r="A23" t="s">
        <v>135</v>
      </c>
      <c r="B23">
        <v>85.3</v>
      </c>
      <c r="C23">
        <v>22.8</v>
      </c>
      <c r="D23">
        <v>253</v>
      </c>
      <c r="E23">
        <v>0</v>
      </c>
      <c r="F23">
        <v>63</v>
      </c>
      <c r="G23">
        <v>22</v>
      </c>
      <c r="H23">
        <v>266</v>
      </c>
      <c r="I23">
        <v>0</v>
      </c>
      <c r="J23">
        <v>54</v>
      </c>
      <c r="K23">
        <v>18</v>
      </c>
      <c r="L23">
        <v>0</v>
      </c>
      <c r="M23">
        <v>9571.44</v>
      </c>
      <c r="N23">
        <v>1751.8</v>
      </c>
      <c r="O23">
        <v>1007.2</v>
      </c>
      <c r="P23">
        <v>0.84199999999999997</v>
      </c>
      <c r="Q23">
        <v>14.06</v>
      </c>
      <c r="R23">
        <v>31479.63</v>
      </c>
      <c r="S23">
        <v>0</v>
      </c>
      <c r="T23" s="2">
        <v>6</v>
      </c>
      <c r="U23">
        <v>2</v>
      </c>
      <c r="V23">
        <v>0</v>
      </c>
      <c r="W23">
        <v>3</v>
      </c>
      <c r="X23">
        <v>3</v>
      </c>
      <c r="Y23" s="9">
        <v>0.67680836525460286</v>
      </c>
      <c r="Z23" s="9">
        <v>0.67709219143665478</v>
      </c>
      <c r="AA23">
        <f>Table373[[#This Row],[dem_rep_ratio_16]]-Table373[[#This Row],[dem_rep_ratio_20]]</f>
        <v>-2.8382618205191612E-4</v>
      </c>
      <c r="AB23">
        <v>1429.159318</v>
      </c>
      <c r="AC23">
        <v>19.7</v>
      </c>
    </row>
    <row r="24" spans="1:29">
      <c r="A24" t="s">
        <v>136</v>
      </c>
      <c r="B24">
        <v>90.6</v>
      </c>
      <c r="C24">
        <v>29.9</v>
      </c>
      <c r="D24">
        <v>258</v>
      </c>
      <c r="E24">
        <v>0</v>
      </c>
      <c r="F24">
        <v>67</v>
      </c>
      <c r="G24">
        <v>28</v>
      </c>
      <c r="H24">
        <v>272</v>
      </c>
      <c r="I24">
        <v>0</v>
      </c>
      <c r="J24">
        <v>61</v>
      </c>
      <c r="K24">
        <v>24</v>
      </c>
      <c r="L24">
        <v>0</v>
      </c>
      <c r="M24">
        <v>8966.68</v>
      </c>
      <c r="N24">
        <v>1881.88</v>
      </c>
      <c r="O24">
        <v>622.65</v>
      </c>
      <c r="P24">
        <v>0.89600000000000002</v>
      </c>
      <c r="Q24">
        <v>12.8</v>
      </c>
      <c r="R24">
        <v>68923.839999999997</v>
      </c>
      <c r="S24">
        <f>522+8*1044</f>
        <v>8874</v>
      </c>
      <c r="T24" s="2">
        <v>7</v>
      </c>
      <c r="U24">
        <v>1</v>
      </c>
      <c r="V24">
        <v>1</v>
      </c>
      <c r="W24">
        <v>3</v>
      </c>
      <c r="X24">
        <v>3</v>
      </c>
      <c r="Y24" s="9">
        <v>0.74616359968190615</v>
      </c>
      <c r="Z24" s="9">
        <v>0.70407070119391446</v>
      </c>
      <c r="AA24">
        <f>Table373[[#This Row],[dem_rep_ratio_16]]-Table373[[#This Row],[dem_rep_ratio_20]]</f>
        <v>4.2092898487991692E-2</v>
      </c>
      <c r="AB24">
        <v>1490.318205</v>
      </c>
      <c r="AC24">
        <v>13.2</v>
      </c>
    </row>
    <row r="25" spans="1:29">
      <c r="A25" t="s">
        <v>137</v>
      </c>
      <c r="B25">
        <v>94</v>
      </c>
      <c r="C25">
        <v>33.1</v>
      </c>
      <c r="D25">
        <v>261</v>
      </c>
      <c r="E25">
        <v>1</v>
      </c>
      <c r="F25">
        <v>72</v>
      </c>
      <c r="G25">
        <v>29</v>
      </c>
      <c r="H25">
        <v>277</v>
      </c>
      <c r="I25">
        <v>1</v>
      </c>
      <c r="J25">
        <v>68</v>
      </c>
      <c r="K25">
        <v>29</v>
      </c>
      <c r="L25">
        <v>1</v>
      </c>
      <c r="M25">
        <v>9980.6200000000008</v>
      </c>
      <c r="N25">
        <v>1993.14</v>
      </c>
      <c r="O25">
        <v>907.92</v>
      </c>
      <c r="P25">
        <v>0.81399999999999995</v>
      </c>
      <c r="Q25">
        <v>13.37</v>
      </c>
      <c r="R25">
        <v>10941.68</v>
      </c>
      <c r="S25">
        <f>360+3*720+5*1080</f>
        <v>7920</v>
      </c>
      <c r="T25" s="2">
        <v>7</v>
      </c>
      <c r="U25">
        <v>1</v>
      </c>
      <c r="V25">
        <v>1</v>
      </c>
      <c r="W25">
        <v>2</v>
      </c>
      <c r="X25">
        <v>0</v>
      </c>
      <c r="Y25" s="9">
        <v>0.6794710572832352</v>
      </c>
      <c r="Z25" s="9">
        <v>0.7673535476822072</v>
      </c>
      <c r="AA25">
        <f>Table373[[#This Row],[dem_rep_ratio_16]]-Table373[[#This Row],[dem_rep_ratio_20]]</f>
        <v>-8.7882490398972002E-2</v>
      </c>
      <c r="AB25">
        <v>2121.7070130000002</v>
      </c>
      <c r="AC25">
        <v>13</v>
      </c>
    </row>
    <row r="26" spans="1:29">
      <c r="A26" t="s">
        <v>138</v>
      </c>
      <c r="B26">
        <v>91.6</v>
      </c>
      <c r="C26">
        <v>32.5</v>
      </c>
      <c r="D26">
        <v>259</v>
      </c>
      <c r="E26">
        <v>1</v>
      </c>
      <c r="F26">
        <v>70</v>
      </c>
      <c r="G26">
        <v>29</v>
      </c>
      <c r="H26">
        <v>279</v>
      </c>
      <c r="I26">
        <v>1</v>
      </c>
      <c r="J26">
        <v>68</v>
      </c>
      <c r="K26">
        <v>31</v>
      </c>
      <c r="L26">
        <v>1</v>
      </c>
      <c r="M26">
        <v>10783.95</v>
      </c>
      <c r="N26">
        <v>2707.17</v>
      </c>
      <c r="O26">
        <v>1285.48</v>
      </c>
      <c r="P26">
        <v>0.86799999999999999</v>
      </c>
      <c r="Q26">
        <v>13.56</v>
      </c>
      <c r="R26">
        <v>23943.47</v>
      </c>
      <c r="S26">
        <f>400+8*1032</f>
        <v>8656</v>
      </c>
      <c r="T26" s="2">
        <v>6</v>
      </c>
      <c r="U26">
        <v>1</v>
      </c>
      <c r="V26">
        <v>1</v>
      </c>
      <c r="W26">
        <v>3</v>
      </c>
      <c r="X26">
        <v>0</v>
      </c>
      <c r="Y26" s="9">
        <v>0.4798807424268024</v>
      </c>
      <c r="Z26" s="9">
        <v>0.53766747199648579</v>
      </c>
      <c r="AA26">
        <f>Table373[[#This Row],[dem_rep_ratio_16]]-Table373[[#This Row],[dem_rep_ratio_20]]</f>
        <v>-5.7786729569683393E-2</v>
      </c>
      <c r="AB26">
        <v>1771.6585769999999</v>
      </c>
      <c r="AC26">
        <v>11</v>
      </c>
    </row>
    <row r="27" spans="1:29">
      <c r="A27" t="s">
        <v>139</v>
      </c>
      <c r="B27">
        <v>86.9</v>
      </c>
      <c r="C27">
        <v>25.5</v>
      </c>
      <c r="D27">
        <v>259</v>
      </c>
      <c r="E27">
        <v>1</v>
      </c>
      <c r="F27">
        <v>68</v>
      </c>
      <c r="G27">
        <v>29</v>
      </c>
      <c r="H27">
        <v>269</v>
      </c>
      <c r="I27">
        <v>0</v>
      </c>
      <c r="J27">
        <v>56</v>
      </c>
      <c r="K27">
        <v>21</v>
      </c>
      <c r="L27">
        <v>0</v>
      </c>
      <c r="M27">
        <v>8278.5499999999993</v>
      </c>
      <c r="N27">
        <v>1664.14</v>
      </c>
      <c r="O27">
        <v>552.71</v>
      </c>
      <c r="P27">
        <v>0.98099999999999998</v>
      </c>
      <c r="Q27">
        <v>20.309999999999999</v>
      </c>
      <c r="R27">
        <v>23746</v>
      </c>
      <c r="S27">
        <v>0</v>
      </c>
      <c r="T27" s="2">
        <v>7</v>
      </c>
      <c r="U27">
        <v>1</v>
      </c>
      <c r="V27">
        <v>2</v>
      </c>
      <c r="W27">
        <v>3</v>
      </c>
      <c r="X27">
        <v>0</v>
      </c>
      <c r="Y27" s="9">
        <v>1.0426018159218358</v>
      </c>
      <c r="Z27" s="9">
        <v>1.0500837221574928</v>
      </c>
      <c r="AA27">
        <f>Table373[[#This Row],[dem_rep_ratio_16]]-Table373[[#This Row],[dem_rep_ratio_20]]</f>
        <v>-7.4819062356570321E-3</v>
      </c>
      <c r="AB27">
        <v>1486.2267629999999</v>
      </c>
      <c r="AC27">
        <v>12.9</v>
      </c>
    </row>
    <row r="28" spans="1:29">
      <c r="A28" t="s">
        <v>140</v>
      </c>
      <c r="B28">
        <v>93.3</v>
      </c>
      <c r="C28">
        <v>37.6</v>
      </c>
      <c r="D28">
        <v>263</v>
      </c>
      <c r="E28">
        <v>1</v>
      </c>
      <c r="F28">
        <v>73</v>
      </c>
      <c r="G28">
        <v>33</v>
      </c>
      <c r="H28">
        <v>279</v>
      </c>
      <c r="I28">
        <v>1</v>
      </c>
      <c r="J28">
        <v>70</v>
      </c>
      <c r="K28">
        <v>29</v>
      </c>
      <c r="L28">
        <v>1</v>
      </c>
      <c r="M28">
        <v>9477.17</v>
      </c>
      <c r="N28">
        <v>2379.6</v>
      </c>
      <c r="O28">
        <v>685.13</v>
      </c>
      <c r="P28">
        <v>0.95799999999999996</v>
      </c>
      <c r="Q28">
        <v>11.42</v>
      </c>
      <c r="R28">
        <v>14799.9</v>
      </c>
      <c r="S28">
        <f>450+5*945+3*990</f>
        <v>8145</v>
      </c>
      <c r="T28" s="3">
        <v>6</v>
      </c>
      <c r="U28">
        <v>0</v>
      </c>
      <c r="V28">
        <v>1</v>
      </c>
      <c r="W28">
        <v>3</v>
      </c>
      <c r="X28">
        <v>0</v>
      </c>
      <c r="Y28" s="9">
        <v>1.0238082812526155</v>
      </c>
      <c r="Z28" s="9">
        <v>1.2329745471511586</v>
      </c>
      <c r="AA28">
        <f>Table373[[#This Row],[dem_rep_ratio_16]]-Table373[[#This Row],[dem_rep_ratio_20]]</f>
        <v>-0.20916626589854315</v>
      </c>
      <c r="AB28">
        <v>2485.9850889999998</v>
      </c>
      <c r="AC28">
        <v>7.6</v>
      </c>
    </row>
    <row r="29" spans="1:29">
      <c r="A29" t="s">
        <v>141</v>
      </c>
      <c r="B29">
        <v>90.3</v>
      </c>
      <c r="C29">
        <v>40.700000000000003</v>
      </c>
      <c r="D29">
        <v>270</v>
      </c>
      <c r="E29">
        <v>1</v>
      </c>
      <c r="F29">
        <v>77</v>
      </c>
      <c r="G29">
        <v>42</v>
      </c>
      <c r="H29">
        <v>281</v>
      </c>
      <c r="I29">
        <v>1</v>
      </c>
      <c r="J29">
        <v>67</v>
      </c>
      <c r="K29">
        <v>33</v>
      </c>
      <c r="L29">
        <v>1</v>
      </c>
      <c r="M29">
        <v>11265.03</v>
      </c>
      <c r="N29">
        <v>2956.03</v>
      </c>
      <c r="O29">
        <v>711.03</v>
      </c>
      <c r="P29">
        <v>1.087</v>
      </c>
      <c r="Q29">
        <v>11.79</v>
      </c>
      <c r="R29">
        <v>116530.03</v>
      </c>
      <c r="S29">
        <v>0</v>
      </c>
      <c r="T29" s="3">
        <v>6</v>
      </c>
      <c r="U29">
        <v>0</v>
      </c>
      <c r="V29">
        <v>1</v>
      </c>
      <c r="W29">
        <v>3</v>
      </c>
      <c r="X29">
        <v>2</v>
      </c>
      <c r="Y29" s="9">
        <v>1.2628653337422111</v>
      </c>
      <c r="Z29" s="9">
        <v>1.3870004682968786</v>
      </c>
      <c r="AA29">
        <f>Table373[[#This Row],[dem_rep_ratio_16]]-Table373[[#This Row],[dem_rep_ratio_20]]</f>
        <v>-0.12413513455466751</v>
      </c>
      <c r="AB29">
        <v>1920.3376920000001</v>
      </c>
      <c r="AC29">
        <v>9.5</v>
      </c>
    </row>
    <row r="30" spans="1:29">
      <c r="A30" t="s">
        <v>142</v>
      </c>
      <c r="B30">
        <v>86.5</v>
      </c>
      <c r="C30">
        <v>28.1</v>
      </c>
      <c r="D30">
        <v>248</v>
      </c>
      <c r="E30">
        <v>0</v>
      </c>
      <c r="F30">
        <v>57</v>
      </c>
      <c r="G30">
        <v>18</v>
      </c>
      <c r="H30">
        <v>259</v>
      </c>
      <c r="I30">
        <v>0</v>
      </c>
      <c r="J30">
        <v>45</v>
      </c>
      <c r="K30">
        <v>13</v>
      </c>
      <c r="L30">
        <v>0</v>
      </c>
      <c r="M30">
        <v>12505.23</v>
      </c>
      <c r="N30">
        <v>1946.86</v>
      </c>
      <c r="O30">
        <v>1290.6600000000001</v>
      </c>
      <c r="P30">
        <v>0.90200000000000002</v>
      </c>
      <c r="Q30">
        <v>14.68</v>
      </c>
      <c r="R30">
        <v>21576.65</v>
      </c>
      <c r="S30">
        <f>450+6*990+2*1080</f>
        <v>8550</v>
      </c>
      <c r="T30" s="2">
        <v>5</v>
      </c>
      <c r="U30">
        <v>1</v>
      </c>
      <c r="V30">
        <v>2</v>
      </c>
      <c r="W30">
        <v>3</v>
      </c>
      <c r="X30">
        <v>3</v>
      </c>
      <c r="Y30" s="9">
        <v>1.2404604166320907</v>
      </c>
      <c r="Z30" s="9">
        <v>1.1984386437305146</v>
      </c>
      <c r="AA30">
        <f>Table373[[#This Row],[dem_rep_ratio_16]]-Table373[[#This Row],[dem_rep_ratio_20]]</f>
        <v>4.202177290157616E-2</v>
      </c>
      <c r="AB30">
        <v>1372.872175</v>
      </c>
      <c r="AC30">
        <v>19.5</v>
      </c>
    </row>
    <row r="31" spans="1:29">
      <c r="A31" t="s">
        <v>143</v>
      </c>
      <c r="B31">
        <v>87.2</v>
      </c>
      <c r="C31">
        <v>37.5</v>
      </c>
      <c r="D31">
        <v>262</v>
      </c>
      <c r="E31">
        <v>1</v>
      </c>
      <c r="F31">
        <v>70</v>
      </c>
      <c r="G31">
        <v>32</v>
      </c>
      <c r="H31">
        <v>274</v>
      </c>
      <c r="I31">
        <v>1</v>
      </c>
      <c r="J31">
        <v>60</v>
      </c>
      <c r="K31">
        <v>28</v>
      </c>
      <c r="L31">
        <v>1</v>
      </c>
      <c r="M31">
        <v>15898.78</v>
      </c>
      <c r="N31">
        <v>3817.24</v>
      </c>
      <c r="O31">
        <v>709.63</v>
      </c>
      <c r="P31">
        <v>1.149</v>
      </c>
      <c r="Q31">
        <v>12.21</v>
      </c>
      <c r="R31">
        <v>213537.44</v>
      </c>
      <c r="S31">
        <f>450+6*900+2*990</f>
        <v>7830</v>
      </c>
      <c r="T31" s="2">
        <v>6</v>
      </c>
      <c r="U31">
        <v>0</v>
      </c>
      <c r="V31">
        <v>1</v>
      </c>
      <c r="W31">
        <v>3</v>
      </c>
      <c r="X31">
        <v>3</v>
      </c>
      <c r="Y31" s="9">
        <v>2.0260018754215059</v>
      </c>
      <c r="Z31" s="9">
        <v>1.6765598303385496</v>
      </c>
      <c r="AA31">
        <f>Table373[[#This Row],[dem_rep_ratio_16]]-Table373[[#This Row],[dem_rep_ratio_20]]</f>
        <v>0.34944204508295629</v>
      </c>
      <c r="AB31">
        <v>2166.9678079999999</v>
      </c>
      <c r="AC31">
        <v>13.6</v>
      </c>
    </row>
    <row r="32" spans="1:29">
      <c r="A32" t="s">
        <v>144</v>
      </c>
      <c r="B32">
        <v>88.5</v>
      </c>
      <c r="C32">
        <v>32</v>
      </c>
      <c r="D32">
        <v>256</v>
      </c>
      <c r="E32">
        <v>0</v>
      </c>
      <c r="F32">
        <v>66</v>
      </c>
      <c r="G32">
        <v>26</v>
      </c>
      <c r="H32">
        <v>274</v>
      </c>
      <c r="I32">
        <v>1</v>
      </c>
      <c r="J32">
        <v>61</v>
      </c>
      <c r="K32">
        <v>25</v>
      </c>
      <c r="L32">
        <v>0</v>
      </c>
      <c r="M32">
        <v>9293.9500000000007</v>
      </c>
      <c r="N32">
        <v>1621.93</v>
      </c>
      <c r="O32">
        <v>1006.7</v>
      </c>
      <c r="P32">
        <v>0.93</v>
      </c>
      <c r="Q32">
        <v>14.98</v>
      </c>
      <c r="R32">
        <v>101057.02</v>
      </c>
      <c r="S32">
        <f>9*1025</f>
        <v>9225</v>
      </c>
      <c r="T32" s="2">
        <v>7</v>
      </c>
      <c r="U32">
        <v>2</v>
      </c>
      <c r="V32">
        <v>1</v>
      </c>
      <c r="W32">
        <v>3</v>
      </c>
      <c r="X32">
        <v>3</v>
      </c>
      <c r="Y32" s="9">
        <v>0.89657785420882008</v>
      </c>
      <c r="Z32" s="9">
        <v>0.98250718838031514</v>
      </c>
      <c r="AA32">
        <f>Table373[[#This Row],[dem_rep_ratio_16]]-Table373[[#This Row],[dem_rep_ratio_20]]</f>
        <v>-8.5929334171495064E-2</v>
      </c>
      <c r="AB32">
        <v>1374.9084680000001</v>
      </c>
      <c r="AC32">
        <v>14</v>
      </c>
    </row>
    <row r="33" spans="1:29">
      <c r="A33" t="s">
        <v>145</v>
      </c>
      <c r="B33">
        <v>93.1</v>
      </c>
      <c r="C33">
        <v>30.7</v>
      </c>
      <c r="D33">
        <v>258</v>
      </c>
      <c r="E33">
        <v>0</v>
      </c>
      <c r="F33">
        <v>69</v>
      </c>
      <c r="G33">
        <v>27</v>
      </c>
      <c r="H33">
        <v>278</v>
      </c>
      <c r="I33">
        <v>1</v>
      </c>
      <c r="J33">
        <v>69</v>
      </c>
      <c r="K33">
        <v>28</v>
      </c>
      <c r="L33">
        <v>0</v>
      </c>
      <c r="M33">
        <v>13688.98</v>
      </c>
      <c r="N33">
        <v>2616.38</v>
      </c>
      <c r="O33">
        <v>1585.49</v>
      </c>
      <c r="P33">
        <v>0.89200000000000002</v>
      </c>
      <c r="Q33">
        <v>12.14</v>
      </c>
      <c r="R33">
        <v>9472.82</v>
      </c>
      <c r="S33">
        <f>481+5*962+3*1050</f>
        <v>8441</v>
      </c>
      <c r="T33" s="2">
        <v>7</v>
      </c>
      <c r="U33">
        <v>1</v>
      </c>
      <c r="V33">
        <v>1</v>
      </c>
      <c r="W33">
        <v>3</v>
      </c>
      <c r="X33">
        <v>3</v>
      </c>
      <c r="Y33" s="9">
        <v>0.32276718336988336</v>
      </c>
      <c r="Z33" s="9">
        <v>0.44296625757308089</v>
      </c>
      <c r="AA33">
        <f>Table373[[#This Row],[dem_rep_ratio_16]]-Table373[[#This Row],[dem_rep_ratio_20]]</f>
        <v>-0.12019907420319753</v>
      </c>
      <c r="AB33">
        <v>2973.9221699999998</v>
      </c>
      <c r="AC33">
        <v>10.7</v>
      </c>
    </row>
    <row r="34" spans="1:29">
      <c r="A34" t="s">
        <v>146</v>
      </c>
      <c r="B34">
        <v>90.8</v>
      </c>
      <c r="C34">
        <v>28.9</v>
      </c>
      <c r="D34">
        <v>262</v>
      </c>
      <c r="E34">
        <v>1</v>
      </c>
      <c r="F34">
        <v>71</v>
      </c>
      <c r="G34">
        <v>33</v>
      </c>
      <c r="H34">
        <v>276</v>
      </c>
      <c r="I34">
        <v>1</v>
      </c>
      <c r="J34">
        <v>64</v>
      </c>
      <c r="K34">
        <v>29</v>
      </c>
      <c r="L34">
        <v>1</v>
      </c>
      <c r="M34">
        <v>10273.92</v>
      </c>
      <c r="N34">
        <v>2331.34</v>
      </c>
      <c r="O34">
        <v>691.6</v>
      </c>
      <c r="P34">
        <v>0.90900000000000003</v>
      </c>
      <c r="Q34">
        <v>16.27</v>
      </c>
      <c r="R34">
        <v>101147.65</v>
      </c>
      <c r="S34">
        <f>450+6*910+2*1001</f>
        <v>7912</v>
      </c>
      <c r="T34" s="2">
        <v>6</v>
      </c>
      <c r="U34">
        <v>1</v>
      </c>
      <c r="V34">
        <v>2</v>
      </c>
      <c r="W34">
        <v>2</v>
      </c>
      <c r="X34">
        <v>3</v>
      </c>
      <c r="Y34" s="9">
        <v>0.73089497519370306</v>
      </c>
      <c r="Z34" s="9">
        <v>0.80132571761287119</v>
      </c>
      <c r="AA34">
        <f>Table373[[#This Row],[dem_rep_ratio_16]]-Table373[[#This Row],[dem_rep_ratio_20]]</f>
        <v>-7.0430742419168135E-2</v>
      </c>
      <c r="AB34">
        <v>1631.725745</v>
      </c>
      <c r="AC34">
        <v>13.9</v>
      </c>
    </row>
    <row r="35" spans="1:29">
      <c r="A35" t="s">
        <v>148</v>
      </c>
      <c r="B35">
        <v>91.1</v>
      </c>
      <c r="C35">
        <v>34.4</v>
      </c>
      <c r="D35">
        <v>257</v>
      </c>
      <c r="E35">
        <v>0</v>
      </c>
      <c r="F35">
        <v>67</v>
      </c>
      <c r="G35">
        <v>28</v>
      </c>
      <c r="H35">
        <v>270</v>
      </c>
      <c r="I35">
        <v>0</v>
      </c>
      <c r="J35">
        <v>57</v>
      </c>
      <c r="K35">
        <v>22</v>
      </c>
      <c r="L35">
        <v>0</v>
      </c>
      <c r="M35">
        <v>13497.03</v>
      </c>
      <c r="N35">
        <v>2336.6799999999998</v>
      </c>
      <c r="O35">
        <v>1221.96</v>
      </c>
      <c r="P35">
        <v>0.98599999999999999</v>
      </c>
      <c r="Q35">
        <v>18.22</v>
      </c>
      <c r="R35">
        <v>30785.93</v>
      </c>
      <c r="S35">
        <f>450+8*900</f>
        <v>7650</v>
      </c>
      <c r="T35" s="2">
        <v>6</v>
      </c>
      <c r="U35">
        <v>1</v>
      </c>
      <c r="V35">
        <v>1</v>
      </c>
      <c r="W35">
        <v>2</v>
      </c>
      <c r="X35">
        <v>2</v>
      </c>
      <c r="Y35" s="9">
        <v>1.3975457480010542</v>
      </c>
      <c r="Z35" s="9">
        <v>1.3906632305020916</v>
      </c>
      <c r="AA35">
        <f>Table373[[#This Row],[dem_rep_ratio_16]]-Table373[[#This Row],[dem_rep_ratio_20]]</f>
        <v>6.8825174989626259E-3</v>
      </c>
      <c r="AB35">
        <v>1644.802463</v>
      </c>
      <c r="AC35">
        <v>12.6</v>
      </c>
    </row>
    <row r="36" spans="1:29">
      <c r="A36" t="s">
        <v>149</v>
      </c>
      <c r="B36">
        <v>91</v>
      </c>
      <c r="C36">
        <v>32.299999999999997</v>
      </c>
      <c r="D36">
        <v>259</v>
      </c>
      <c r="E36">
        <v>1</v>
      </c>
      <c r="F36">
        <v>68</v>
      </c>
      <c r="G36">
        <v>31</v>
      </c>
      <c r="H36">
        <v>274</v>
      </c>
      <c r="I36">
        <v>1</v>
      </c>
      <c r="J36">
        <v>62</v>
      </c>
      <c r="K36">
        <v>27</v>
      </c>
      <c r="L36">
        <v>1</v>
      </c>
      <c r="M36">
        <v>11337.2</v>
      </c>
      <c r="N36">
        <v>2539.5700000000002</v>
      </c>
      <c r="O36">
        <v>893.39</v>
      </c>
      <c r="P36">
        <v>0.94699999999999995</v>
      </c>
      <c r="Q36">
        <v>13.63</v>
      </c>
      <c r="R36">
        <v>125028.25</v>
      </c>
      <c r="S36">
        <f>450+6*900+2*990</f>
        <v>7830</v>
      </c>
      <c r="T36" s="2">
        <v>6</v>
      </c>
      <c r="U36">
        <v>0</v>
      </c>
      <c r="V36">
        <v>2</v>
      </c>
      <c r="W36">
        <v>3</v>
      </c>
      <c r="X36">
        <v>2</v>
      </c>
      <c r="Y36" s="9">
        <v>0.96114092764109471</v>
      </c>
      <c r="Z36" s="9">
        <v>0.99921765204869295</v>
      </c>
      <c r="AA36">
        <f>Table373[[#This Row],[dem_rep_ratio_16]]-Table373[[#This Row],[dem_rep_ratio_20]]</f>
        <v>-3.8076724407598239E-2</v>
      </c>
      <c r="AB36">
        <v>2060.8828669999998</v>
      </c>
      <c r="AC36">
        <v>12.2</v>
      </c>
    </row>
    <row r="37" spans="1:29">
      <c r="A37" t="s">
        <v>150</v>
      </c>
      <c r="B37">
        <v>89.2</v>
      </c>
      <c r="C37">
        <v>35</v>
      </c>
      <c r="D37">
        <v>259</v>
      </c>
      <c r="E37">
        <v>1</v>
      </c>
      <c r="F37">
        <v>68</v>
      </c>
      <c r="G37">
        <v>31</v>
      </c>
      <c r="H37">
        <v>270</v>
      </c>
      <c r="I37">
        <v>0</v>
      </c>
      <c r="J37">
        <v>58</v>
      </c>
      <c r="K37">
        <v>24</v>
      </c>
      <c r="L37">
        <v>0</v>
      </c>
      <c r="M37">
        <v>11947.39</v>
      </c>
      <c r="N37">
        <v>2582.8000000000002</v>
      </c>
      <c r="O37">
        <v>662.86</v>
      </c>
      <c r="P37">
        <v>0.99399999999999999</v>
      </c>
      <c r="Q37">
        <v>13.05</v>
      </c>
      <c r="R37">
        <v>10669.04</v>
      </c>
      <c r="S37">
        <f>9*1080</f>
        <v>9720</v>
      </c>
      <c r="T37" s="2">
        <v>5</v>
      </c>
      <c r="U37">
        <v>2</v>
      </c>
      <c r="V37">
        <v>2</v>
      </c>
      <c r="W37">
        <v>3</v>
      </c>
      <c r="X37">
        <v>3</v>
      </c>
      <c r="Y37" s="9">
        <v>1.6036841304016876</v>
      </c>
      <c r="Z37" s="9">
        <v>1.9986390573681561</v>
      </c>
      <c r="AA37">
        <f>Table373[[#This Row],[dem_rep_ratio_16]]-Table373[[#This Row],[dem_rep_ratio_20]]</f>
        <v>-0.3949549269664685</v>
      </c>
      <c r="AB37">
        <v>2066.3858340000002</v>
      </c>
      <c r="AC37">
        <v>12.9</v>
      </c>
    </row>
    <row r="38" spans="1:29">
      <c r="A38" t="s">
        <v>151</v>
      </c>
      <c r="B38">
        <v>88.3</v>
      </c>
      <c r="C38">
        <v>29</v>
      </c>
      <c r="D38">
        <v>254</v>
      </c>
      <c r="E38">
        <v>0</v>
      </c>
      <c r="F38">
        <v>63</v>
      </c>
      <c r="G38">
        <v>27</v>
      </c>
      <c r="H38">
        <v>269</v>
      </c>
      <c r="I38">
        <v>0</v>
      </c>
      <c r="J38">
        <v>56</v>
      </c>
      <c r="K38">
        <v>22</v>
      </c>
      <c r="L38">
        <v>0</v>
      </c>
      <c r="M38">
        <v>9586.7900000000009</v>
      </c>
      <c r="N38">
        <v>1988.59</v>
      </c>
      <c r="O38">
        <v>898.62</v>
      </c>
      <c r="P38">
        <v>0.88</v>
      </c>
      <c r="Q38">
        <v>14.28</v>
      </c>
      <c r="R38">
        <v>53702.97</v>
      </c>
      <c r="S38">
        <v>0</v>
      </c>
      <c r="T38" s="2">
        <v>5</v>
      </c>
      <c r="U38">
        <v>2</v>
      </c>
      <c r="V38">
        <v>2</v>
      </c>
      <c r="W38">
        <v>2</v>
      </c>
      <c r="X38">
        <v>1</v>
      </c>
      <c r="Y38" s="9">
        <v>0.65113547213099143</v>
      </c>
      <c r="Z38" s="9">
        <v>0.78695171786190488</v>
      </c>
      <c r="AA38">
        <f>Table373[[#This Row],[dem_rep_ratio_16]]-Table373[[#This Row],[dem_rep_ratio_20]]</f>
        <v>-0.13581624573091344</v>
      </c>
      <c r="AB38">
        <v>1427.6037309999999</v>
      </c>
      <c r="AC38">
        <v>15.3</v>
      </c>
    </row>
    <row r="39" spans="1:29">
      <c r="A39" t="s">
        <v>152</v>
      </c>
      <c r="B39">
        <v>92.2</v>
      </c>
      <c r="C39">
        <v>29.3</v>
      </c>
      <c r="D39">
        <v>262</v>
      </c>
      <c r="E39">
        <v>1</v>
      </c>
      <c r="F39">
        <v>73</v>
      </c>
      <c r="G39">
        <v>31</v>
      </c>
      <c r="H39">
        <v>281</v>
      </c>
      <c r="I39">
        <v>1</v>
      </c>
      <c r="J39">
        <v>72</v>
      </c>
      <c r="K39">
        <v>32</v>
      </c>
      <c r="L39">
        <v>1</v>
      </c>
      <c r="M39">
        <v>9656.2999999999993</v>
      </c>
      <c r="N39">
        <v>1994.54</v>
      </c>
      <c r="O39">
        <v>847.65</v>
      </c>
      <c r="P39">
        <v>0.83199999999999996</v>
      </c>
      <c r="Q39">
        <v>13.93</v>
      </c>
      <c r="R39">
        <v>10020.18</v>
      </c>
      <c r="S39">
        <f>438+5*875+3*968</f>
        <v>7717</v>
      </c>
      <c r="T39" s="2">
        <v>5</v>
      </c>
      <c r="U39">
        <v>1</v>
      </c>
      <c r="V39">
        <v>2</v>
      </c>
      <c r="W39">
        <v>3</v>
      </c>
      <c r="X39">
        <v>1</v>
      </c>
      <c r="Y39" s="9">
        <v>0.48522453450164293</v>
      </c>
      <c r="Z39" s="9">
        <v>0.3426882930525022</v>
      </c>
      <c r="AA39">
        <f>Table373[[#This Row],[dem_rep_ratio_16]]-Table373[[#This Row],[dem_rep_ratio_20]]</f>
        <v>0.14253624144914073</v>
      </c>
      <c r="AB39">
        <v>2077.3674620000002</v>
      </c>
      <c r="AC39">
        <v>13.1</v>
      </c>
    </row>
    <row r="40" spans="1:29">
      <c r="A40" t="s">
        <v>153</v>
      </c>
      <c r="B40">
        <v>88.2</v>
      </c>
      <c r="C40">
        <v>28.2</v>
      </c>
      <c r="D40">
        <v>258</v>
      </c>
      <c r="E40">
        <v>0</v>
      </c>
      <c r="F40">
        <v>67</v>
      </c>
      <c r="G40">
        <v>28</v>
      </c>
      <c r="H40">
        <v>272</v>
      </c>
      <c r="I40">
        <v>0</v>
      </c>
      <c r="J40">
        <v>60</v>
      </c>
      <c r="K40">
        <v>25</v>
      </c>
      <c r="L40">
        <v>0</v>
      </c>
      <c r="M40">
        <v>8062.08</v>
      </c>
      <c r="N40">
        <v>1550.68</v>
      </c>
      <c r="O40">
        <v>569.46</v>
      </c>
      <c r="P40">
        <v>0.9</v>
      </c>
      <c r="Q40">
        <v>15.24</v>
      </c>
      <c r="R40">
        <v>64667.05</v>
      </c>
      <c r="S40">
        <v>0</v>
      </c>
      <c r="T40" s="2">
        <v>6</v>
      </c>
      <c r="U40">
        <v>2</v>
      </c>
      <c r="V40">
        <v>2</v>
      </c>
      <c r="W40">
        <v>3</v>
      </c>
      <c r="X40">
        <v>1</v>
      </c>
      <c r="Y40" s="9">
        <v>0.55852273951532572</v>
      </c>
      <c r="Z40" s="9">
        <v>0.61166562799331281</v>
      </c>
      <c r="AA40">
        <f>Table373[[#This Row],[dem_rep_ratio_16]]-Table373[[#This Row],[dem_rep_ratio_20]]</f>
        <v>-5.3142888477987094E-2</v>
      </c>
      <c r="AB40">
        <v>1426.9746439999999</v>
      </c>
      <c r="AC40">
        <v>15.3</v>
      </c>
    </row>
    <row r="41" spans="1:29">
      <c r="A41" t="s">
        <v>154</v>
      </c>
      <c r="B41">
        <v>84.4</v>
      </c>
      <c r="C41">
        <v>30.7</v>
      </c>
      <c r="D41">
        <v>255</v>
      </c>
      <c r="E41">
        <v>0</v>
      </c>
      <c r="F41">
        <v>66</v>
      </c>
      <c r="G41">
        <v>23</v>
      </c>
      <c r="H41">
        <v>273</v>
      </c>
      <c r="I41">
        <v>1</v>
      </c>
      <c r="J41">
        <v>61</v>
      </c>
      <c r="K41">
        <v>24</v>
      </c>
      <c r="L41">
        <v>0</v>
      </c>
      <c r="M41">
        <v>9579.43</v>
      </c>
      <c r="N41">
        <v>2217.65</v>
      </c>
      <c r="O41">
        <v>1082.45</v>
      </c>
      <c r="P41">
        <v>0.98799999999999999</v>
      </c>
      <c r="Q41">
        <v>14.49</v>
      </c>
      <c r="R41">
        <v>370718.5</v>
      </c>
      <c r="S41">
        <f>9*1260</f>
        <v>11340</v>
      </c>
      <c r="T41" s="2">
        <v>6</v>
      </c>
      <c r="U41">
        <v>1</v>
      </c>
      <c r="V41">
        <v>1</v>
      </c>
      <c r="W41">
        <v>3</v>
      </c>
      <c r="X41">
        <v>3</v>
      </c>
      <c r="Y41" s="9">
        <v>0.73603044427424524</v>
      </c>
      <c r="Z41" s="9">
        <v>0.84614890111058227</v>
      </c>
      <c r="AA41">
        <f>Table373[[#This Row],[dem_rep_ratio_16]]-Table373[[#This Row],[dem_rep_ratio_20]]</f>
        <v>-0.11011845683633703</v>
      </c>
      <c r="AB41">
        <v>1350.74478</v>
      </c>
      <c r="AC41">
        <v>14.9</v>
      </c>
    </row>
    <row r="42" spans="1:29">
      <c r="A42" t="s">
        <v>156</v>
      </c>
      <c r="B42">
        <v>93.5</v>
      </c>
      <c r="C42">
        <v>39.700000000000003</v>
      </c>
      <c r="D42">
        <v>264</v>
      </c>
      <c r="E42">
        <v>1</v>
      </c>
      <c r="F42">
        <v>73</v>
      </c>
      <c r="G42">
        <v>34</v>
      </c>
      <c r="H42">
        <v>276</v>
      </c>
      <c r="I42">
        <v>1</v>
      </c>
      <c r="J42">
        <v>66</v>
      </c>
      <c r="K42">
        <v>27</v>
      </c>
      <c r="L42">
        <v>1</v>
      </c>
      <c r="M42">
        <v>13678.43</v>
      </c>
      <c r="N42">
        <v>2943.96</v>
      </c>
      <c r="O42">
        <v>1284.6199999999999</v>
      </c>
      <c r="P42">
        <v>0.88700000000000001</v>
      </c>
      <c r="Q42">
        <v>10.31</v>
      </c>
      <c r="R42">
        <v>7989.43</v>
      </c>
      <c r="S42">
        <v>0</v>
      </c>
      <c r="T42" s="2">
        <v>6</v>
      </c>
      <c r="U42">
        <v>1</v>
      </c>
      <c r="V42">
        <v>0</v>
      </c>
      <c r="W42">
        <v>3</v>
      </c>
      <c r="X42">
        <v>0</v>
      </c>
      <c r="Y42" s="9">
        <v>3.1920143111262975</v>
      </c>
      <c r="Z42" s="9">
        <v>2.3097096876288759</v>
      </c>
      <c r="AA42">
        <f>Table373[[#This Row],[dem_rep_ratio_16]]-Table373[[#This Row],[dem_rep_ratio_20]]</f>
        <v>0.88230462349742167</v>
      </c>
      <c r="AB42">
        <v>3589.2073850000002</v>
      </c>
      <c r="AC42">
        <v>11</v>
      </c>
    </row>
    <row r="43" spans="1:29">
      <c r="A43" t="s">
        <v>157</v>
      </c>
      <c r="B43">
        <v>90.3</v>
      </c>
      <c r="C43">
        <v>39.5</v>
      </c>
      <c r="D43">
        <v>260</v>
      </c>
      <c r="E43">
        <v>1</v>
      </c>
      <c r="F43">
        <v>69</v>
      </c>
      <c r="G43">
        <v>31</v>
      </c>
      <c r="H43">
        <v>279</v>
      </c>
      <c r="I43">
        <v>1</v>
      </c>
      <c r="J43">
        <v>65</v>
      </c>
      <c r="K43">
        <v>31</v>
      </c>
      <c r="L43">
        <v>1</v>
      </c>
      <c r="M43">
        <v>10500.88</v>
      </c>
      <c r="N43">
        <v>2209.63</v>
      </c>
      <c r="O43">
        <v>1019.72</v>
      </c>
      <c r="P43">
        <v>1.0329999999999999</v>
      </c>
      <c r="Q43">
        <v>14.38</v>
      </c>
      <c r="R43">
        <v>87049.37</v>
      </c>
      <c r="S43">
        <f>540+8*990</f>
        <v>8460</v>
      </c>
      <c r="T43" s="2">
        <v>5</v>
      </c>
      <c r="U43">
        <v>2</v>
      </c>
      <c r="V43">
        <v>2</v>
      </c>
      <c r="W43">
        <v>3</v>
      </c>
      <c r="X43">
        <v>1</v>
      </c>
      <c r="Y43" s="9">
        <v>1.0632384698153858</v>
      </c>
      <c r="Z43" s="9">
        <v>1.2001556458461469</v>
      </c>
      <c r="AA43">
        <f>Table373[[#This Row],[dem_rep_ratio_16]]-Table373[[#This Row],[dem_rep_ratio_20]]</f>
        <v>-0.13691717603076103</v>
      </c>
      <c r="AB43">
        <v>1451.3927570000001</v>
      </c>
      <c r="AC43">
        <v>10.7</v>
      </c>
    </row>
    <row r="44" spans="1:29">
      <c r="A44" t="s">
        <v>158</v>
      </c>
      <c r="B44">
        <v>91.7</v>
      </c>
      <c r="C44">
        <v>36.700000000000003</v>
      </c>
      <c r="D44">
        <v>262</v>
      </c>
      <c r="E44">
        <v>1</v>
      </c>
      <c r="F44">
        <v>71</v>
      </c>
      <c r="G44">
        <v>32</v>
      </c>
      <c r="H44">
        <v>276</v>
      </c>
      <c r="I44">
        <v>1</v>
      </c>
      <c r="J44">
        <v>64</v>
      </c>
      <c r="K44">
        <v>28</v>
      </c>
      <c r="L44">
        <v>1</v>
      </c>
      <c r="M44">
        <v>11963.74</v>
      </c>
      <c r="N44">
        <v>2649.16</v>
      </c>
      <c r="O44">
        <v>994.14</v>
      </c>
      <c r="P44">
        <v>1.1000000000000001</v>
      </c>
      <c r="Q44">
        <v>17.59</v>
      </c>
      <c r="R44">
        <v>61810.07</v>
      </c>
      <c r="S44">
        <f>450+8*1000</f>
        <v>8450</v>
      </c>
      <c r="T44" s="2">
        <v>8</v>
      </c>
      <c r="U44">
        <v>2</v>
      </c>
      <c r="V44">
        <v>1</v>
      </c>
      <c r="W44">
        <v>3</v>
      </c>
      <c r="X44">
        <v>2</v>
      </c>
      <c r="Y44" s="9">
        <v>1.363214378250621</v>
      </c>
      <c r="Z44" s="9">
        <v>1.5047402835767825</v>
      </c>
      <c r="AA44">
        <f>Table373[[#This Row],[dem_rep_ratio_16]]-Table373[[#This Row],[dem_rep_ratio_20]]</f>
        <v>-0.14152590532616149</v>
      </c>
      <c r="AB44">
        <v>1462.839401</v>
      </c>
      <c r="AC44">
        <v>10.3</v>
      </c>
    </row>
    <row r="45" spans="1:29">
      <c r="A45" t="s">
        <v>159</v>
      </c>
      <c r="B45">
        <v>87.6</v>
      </c>
      <c r="C45">
        <v>21.3</v>
      </c>
      <c r="D45">
        <v>249</v>
      </c>
      <c r="E45">
        <v>0</v>
      </c>
      <c r="F45">
        <v>60</v>
      </c>
      <c r="G45">
        <v>22</v>
      </c>
      <c r="H45">
        <v>260</v>
      </c>
      <c r="I45">
        <v>0</v>
      </c>
      <c r="J45">
        <v>48</v>
      </c>
      <c r="K45">
        <v>15</v>
      </c>
      <c r="L45">
        <v>0</v>
      </c>
      <c r="M45">
        <v>10313.200000000001</v>
      </c>
      <c r="N45">
        <v>1878.02</v>
      </c>
      <c r="O45">
        <v>981.02</v>
      </c>
      <c r="P45">
        <v>0.80400000000000005</v>
      </c>
      <c r="Q45">
        <v>13.63</v>
      </c>
      <c r="R45">
        <v>18629.990000000002</v>
      </c>
      <c r="S45">
        <v>0</v>
      </c>
      <c r="T45" s="2">
        <v>6</v>
      </c>
      <c r="U45">
        <v>2</v>
      </c>
      <c r="V45">
        <v>2</v>
      </c>
      <c r="W45">
        <v>3</v>
      </c>
      <c r="X45">
        <v>3</v>
      </c>
      <c r="Y45" s="9">
        <v>0.44226060266184924</v>
      </c>
      <c r="Z45" s="9">
        <v>0.43133238421408943</v>
      </c>
      <c r="AA45">
        <f>Table373[[#This Row],[dem_rep_ratio_16]]-Table373[[#This Row],[dem_rep_ratio_20]]</f>
        <v>1.0928218447759819E-2</v>
      </c>
      <c r="AB45">
        <v>1644.337217</v>
      </c>
      <c r="AC45">
        <v>17.8</v>
      </c>
    </row>
    <row r="46" spans="1:29">
      <c r="A46" t="s">
        <v>160</v>
      </c>
      <c r="B46">
        <v>92.6</v>
      </c>
      <c r="C46">
        <v>30.8</v>
      </c>
      <c r="D46">
        <v>262</v>
      </c>
      <c r="E46">
        <v>1</v>
      </c>
      <c r="F46">
        <v>72</v>
      </c>
      <c r="G46">
        <v>32</v>
      </c>
      <c r="H46">
        <v>281</v>
      </c>
      <c r="I46">
        <v>1</v>
      </c>
      <c r="J46">
        <v>70</v>
      </c>
      <c r="K46">
        <v>33</v>
      </c>
      <c r="L46">
        <v>1</v>
      </c>
      <c r="M46">
        <v>10340.48</v>
      </c>
      <c r="N46">
        <v>2185.96</v>
      </c>
      <c r="O46">
        <v>1019.72</v>
      </c>
      <c r="P46">
        <v>0.91100000000000003</v>
      </c>
      <c r="Q46">
        <v>13.81</v>
      </c>
      <c r="R46">
        <v>60091.66</v>
      </c>
      <c r="S46">
        <f>437+6*1050+2*1137</f>
        <v>9011</v>
      </c>
      <c r="T46" s="2">
        <v>6</v>
      </c>
      <c r="U46">
        <v>1</v>
      </c>
      <c r="V46">
        <v>1</v>
      </c>
      <c r="W46">
        <v>3</v>
      </c>
      <c r="X46">
        <v>2</v>
      </c>
      <c r="Y46" s="9">
        <v>0.99707174477994642</v>
      </c>
      <c r="Z46" s="9">
        <v>0.977366919928365</v>
      </c>
      <c r="AA46">
        <f>Table373[[#This Row],[dem_rep_ratio_16]]-Table373[[#This Row],[dem_rep_ratio_20]]</f>
        <v>1.9704824851581426E-2</v>
      </c>
      <c r="AB46">
        <v>1670.629124</v>
      </c>
      <c r="AC46">
        <v>11</v>
      </c>
    </row>
    <row r="47" spans="1:29" ht="15.75" thickBot="1">
      <c r="A47" t="s">
        <v>161</v>
      </c>
      <c r="B47">
        <v>93.6</v>
      </c>
      <c r="C47">
        <v>28.2</v>
      </c>
      <c r="D47">
        <v>261</v>
      </c>
      <c r="E47">
        <v>1</v>
      </c>
      <c r="F47">
        <v>71</v>
      </c>
      <c r="G47">
        <v>30</v>
      </c>
      <c r="H47">
        <v>281</v>
      </c>
      <c r="I47">
        <v>1</v>
      </c>
      <c r="J47">
        <v>72</v>
      </c>
      <c r="K47">
        <v>31</v>
      </c>
      <c r="L47">
        <v>1</v>
      </c>
      <c r="M47">
        <v>17174.830000000002</v>
      </c>
      <c r="N47">
        <v>3192.67</v>
      </c>
      <c r="O47">
        <v>1664.52</v>
      </c>
      <c r="P47">
        <v>0.84799999999999998</v>
      </c>
      <c r="Q47">
        <v>12.33</v>
      </c>
      <c r="R47">
        <v>7521.73</v>
      </c>
      <c r="S47">
        <f>450+5*900+3*1050</f>
        <v>8100</v>
      </c>
      <c r="T47" s="4">
        <v>7</v>
      </c>
      <c r="U47">
        <v>1</v>
      </c>
      <c r="V47">
        <v>0</v>
      </c>
      <c r="W47">
        <v>0</v>
      </c>
      <c r="X47">
        <v>0</v>
      </c>
      <c r="Y47" s="9">
        <v>0.39758314554061613</v>
      </c>
      <c r="Z47" s="9">
        <v>0.37034349340394984</v>
      </c>
      <c r="AA47">
        <f>Table373[[#This Row],[dem_rep_ratio_16]]-Table373[[#This Row],[dem_rep_ratio_20]]</f>
        <v>2.7239652136666292E-2</v>
      </c>
      <c r="AB47">
        <v>3145.3173550000001</v>
      </c>
      <c r="AC47">
        <v>11.1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Violet Borrero</dc:creator>
  <cp:keywords/>
  <dc:description/>
  <cp:lastModifiedBy>Violet Borrero</cp:lastModifiedBy>
  <cp:revision/>
  <dcterms:created xsi:type="dcterms:W3CDTF">2023-11-10T15:01:08Z</dcterms:created>
  <dcterms:modified xsi:type="dcterms:W3CDTF">2026-10-22T17:02:08Z</dcterms:modified>
  <cp:category/>
  <cp:contentStatus/>
</cp:coreProperties>
</file>