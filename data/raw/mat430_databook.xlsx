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9"/>
  <workbookPr defaultThemeVersion="166925"/>
  <mc:AlternateContent xmlns:mc="http://schemas.openxmlformats.org/markup-compatibility/2006">
    <mc:Choice Requires="x15">
      <x15ac:absPath xmlns:x15ac="http://schemas.microsoft.com/office/spreadsheetml/2010/11/ac" url="https://d.docs.live.net/e807fcd3016684d9/Violet/SNHU/MAT 430/spreadsheets/"/>
    </mc:Choice>
  </mc:AlternateContent>
  <xr:revisionPtr revIDLastSave="84" documentId="8_{B0260380-DE37-4461-96B3-E617DAF69A55}" xr6:coauthVersionLast="47" xr6:coauthVersionMax="47" xr10:uidLastSave="{1C922587-F2AD-480F-B4E1-7DF103AB12CF}"/>
  <bookViews>
    <workbookView xWindow="-28920" yWindow="-975" windowWidth="29040" windowHeight="15720" xr2:uid="{2FD18A0E-52C9-4701-B90D-EE05EF491433}"/>
  </bookViews>
  <sheets>
    <sheet name="teacher_incomes" sheetId="1" r:id="rId1"/>
    <sheet name="state_characteristics_elsi" sheetId="2" r:id="rId2"/>
    <sheet name="min_instructional_days" sheetId="3" r:id="rId3"/>
    <sheet name="kindergarten_required" sheetId="4" r:id="rId4"/>
    <sheet name="teacher_min_req_cert" sheetId="5" r:id="rId5"/>
    <sheet name="state_percapita_spending" sheetId="6" r:id="rId6"/>
    <sheet name="2022_grade8_reading" sheetId="7" r:id="rId7"/>
    <sheet name="2022_grade8_math" sheetId="8" r:id="rId8"/>
    <sheet name="educational_attain_state"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c r="H4" i="1"/>
  <c r="C68" i="2"/>
  <c r="C69" i="2"/>
  <c r="B69" i="2"/>
  <c r="B68" i="2"/>
  <c r="Q9" i="6"/>
  <c r="Q10" i="6"/>
  <c r="O9" i="6"/>
  <c r="P9" i="6"/>
  <c r="P10" i="6"/>
  <c r="O10" i="6"/>
</calcChain>
</file>

<file path=xl/sharedStrings.xml><?xml version="1.0" encoding="utf-8"?>
<sst xmlns="http://schemas.openxmlformats.org/spreadsheetml/2006/main" count="1658" uniqueCount="534">
  <si>
    <t>ST_FIPS</t>
  </si>
  <si>
    <t>ST_NAME</t>
  </si>
  <si>
    <t>ST_CWIFTEST</t>
  </si>
  <si>
    <t>ST_CWIFTSE</t>
  </si>
  <si>
    <t>data from https://nces.ed.gov/programs/edge/Economic/TeacherWage</t>
  </si>
  <si>
    <t>Alabama</t>
  </si>
  <si>
    <t>year snapshot - 2021</t>
  </si>
  <si>
    <t>Alaska</t>
  </si>
  <si>
    <t>Arizona</t>
  </si>
  <si>
    <t>max</t>
  </si>
  <si>
    <t>Arkansas</t>
  </si>
  <si>
    <t>min</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</si>
  <si>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</si>
  <si>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</si>
  <si>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</si>
  <si>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</si>
  <si>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</si>
  <si>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</si>
  <si>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</si>
  <si>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</si>
  <si>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</si>
  <si>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</si>
  <si>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</si>
  <si>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</si>
  <si>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</si>
  <si>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</si>
  <si>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</si>
  <si>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</si>
  <si>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</si>
  <si>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</si>
  <si>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</si>
  <si>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</si>
  <si>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</si>
  <si>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</si>
  <si>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</si>
  <si>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</si>
  <si>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</si>
  <si>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</si>
  <si>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</si>
  <si>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</si>
  <si>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</si>
  <si>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</si>
  <si>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</si>
  <si>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</si>
  <si>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</si>
  <si>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</si>
  <si>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</si>
  <si>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</si>
  <si>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</si>
  <si>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</si>
  <si>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</si>
  <si>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</si>
  <si>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</si>
  <si>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</si>
  <si>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</si>
  <si>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</si>
  <si>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</si>
  <si>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</si>
  <si>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</si>
  <si>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ELSI Export</t>
  </si>
  <si>
    <t>National Center for Education Statistics - http://nces.ed.gov/ccd/elsi/</t>
  </si>
  <si>
    <t>This is a State based table with the following filters applied: State(s) (All Years): All 50 + DC</t>
  </si>
  <si>
    <t>State Name</t>
  </si>
  <si>
    <t>Pupil/Teacher Ratio [State] 2020-21</t>
  </si>
  <si>
    <t>Full-Time Equivalent (FTE) Teachers [State] 2020-21</t>
  </si>
  <si>
    <t>Total Enrollment (Exclude AE) for SY 2014-15 onward [State] 2020-21</t>
  </si>
  <si>
    <t>Total Number of Public Schools [Public School] 2020-21</t>
  </si>
  <si>
    <t>Total Number of Counties [District] 2020-21</t>
  </si>
  <si>
    <t>State Education Agency Name [State] 2020-21</t>
  </si>
  <si>
    <t>ALABAMA</t>
  </si>
  <si>
    <t>Alabama State Department of Education</t>
  </si>
  <si>
    <t>ALASKA</t>
  </si>
  <si>
    <t>Alaska Department of Education and Early Development</t>
  </si>
  <si>
    <t>ARIZONA</t>
  </si>
  <si>
    <t>Arizona Department of Education</t>
  </si>
  <si>
    <t>ARKANSAS</t>
  </si>
  <si>
    <t>ARKANSAS DEPARTMENT OF EDUCATION</t>
  </si>
  <si>
    <t>CALIFORNIA</t>
  </si>
  <si>
    <t>California Department of Education</t>
  </si>
  <si>
    <t>COLORADO</t>
  </si>
  <si>
    <t>Colorado Department of Education</t>
  </si>
  <si>
    <t>CONNECTICUT</t>
  </si>
  <si>
    <t>Connecticut State Department of Education</t>
  </si>
  <si>
    <t>DELAWARE</t>
  </si>
  <si>
    <t>Delaware Department of Education</t>
  </si>
  <si>
    <t>DISTRICT OF COLUMBIA</t>
  </si>
  <si>
    <t>Office of the State Superintendent of Education (OSSE)</t>
  </si>
  <si>
    <t>FLORIDA</t>
  </si>
  <si>
    <t>FLORIDA DEPARTMENT OF EDUCATION</t>
  </si>
  <si>
    <t>GEORGIA</t>
  </si>
  <si>
    <t>Georgia Department of Education</t>
  </si>
  <si>
    <t>HAWAII</t>
  </si>
  <si>
    <t>Hawaii Department of Education</t>
  </si>
  <si>
    <t>IDAHO</t>
  </si>
  <si>
    <t>Idaho State Department of Education</t>
  </si>
  <si>
    <t>ILLINOIS</t>
  </si>
  <si>
    <t>–</t>
  </si>
  <si>
    <t>Illinois State Board of Education</t>
  </si>
  <si>
    <t>INDIANA</t>
  </si>
  <si>
    <t>Indiana Department of Education</t>
  </si>
  <si>
    <t>IOWA</t>
  </si>
  <si>
    <t>Iowa Department of Education</t>
  </si>
  <si>
    <t>KANSAS</t>
  </si>
  <si>
    <t>Kansas State Department of Education</t>
  </si>
  <si>
    <t>KENTUCKY</t>
  </si>
  <si>
    <t>Kentucky Department of Education</t>
  </si>
  <si>
    <t>LOUISIANA</t>
  </si>
  <si>
    <t>Louisiana Department of Education</t>
  </si>
  <si>
    <t>MAINE</t>
  </si>
  <si>
    <t>Maine Department of Education</t>
  </si>
  <si>
    <t>MARYLAND</t>
  </si>
  <si>
    <t>Maryland State Department of Education</t>
  </si>
  <si>
    <t>MASSACHUSETTS</t>
  </si>
  <si>
    <t>DEPARTMENT OF EDUCATION</t>
  </si>
  <si>
    <t>MICHIGAN</t>
  </si>
  <si>
    <t>Michigan Department of Education</t>
  </si>
  <si>
    <t>MINNESOTA</t>
  </si>
  <si>
    <t>Minnesota Department of Education</t>
  </si>
  <si>
    <t>MISSISSIPPI</t>
  </si>
  <si>
    <t>MISSISSIPPI DEPARTMENT OF EDUCATION</t>
  </si>
  <si>
    <t>MISSOURI</t>
  </si>
  <si>
    <t>MISSOURI DEPT OF ELEMENTARY AND SECONDARY EDUCATION</t>
  </si>
  <si>
    <t>MONTANA</t>
  </si>
  <si>
    <t>Montana Office of Public Instruction</t>
  </si>
  <si>
    <t>NEBRASKA</t>
  </si>
  <si>
    <t>Nebraska Department of Education</t>
  </si>
  <si>
    <t>NEVADA</t>
  </si>
  <si>
    <t>Nevada Department of Education</t>
  </si>
  <si>
    <t>NEW HAMPSHIRE</t>
  </si>
  <si>
    <t>NH Dept of Education</t>
  </si>
  <si>
    <t>NEW JERSEY</t>
  </si>
  <si>
    <t>NEW JERSEY DEPARTMENT OF EDUCATION</t>
  </si>
  <si>
    <t>NEW MEXICO</t>
  </si>
  <si>
    <t>New Mexico Public Education Department</t>
  </si>
  <si>
    <t>NEW YORK</t>
  </si>
  <si>
    <t>NEW YORK STATE EDUCATION DEPARTMENT</t>
  </si>
  <si>
    <t>NORTH CAROLINA</t>
  </si>
  <si>
    <t>NC Department of Public Instruction</t>
  </si>
  <si>
    <t>NORTH DAKOTA</t>
  </si>
  <si>
    <t>North Dakota Department of Public Instruction</t>
  </si>
  <si>
    <t>OHIO</t>
  </si>
  <si>
    <t>Ohio Department of Education</t>
  </si>
  <si>
    <t>OKLAHOMA</t>
  </si>
  <si>
    <t>OKLAHOMA STATE DEPARTMENT OF EDUCATION</t>
  </si>
  <si>
    <t>OREGON</t>
  </si>
  <si>
    <t>Oregon Department of Education</t>
  </si>
  <si>
    <t>PENNSYLVANIA</t>
  </si>
  <si>
    <t>Pennsylvania Department of Education</t>
  </si>
  <si>
    <t>RHODE ISLAND</t>
  </si>
  <si>
    <t>RHODE ISLAND DEPARTMENT OF EDUCATION</t>
  </si>
  <si>
    <t>SOUTH CAROLINA</t>
  </si>
  <si>
    <t>South Carolina Department of Education</t>
  </si>
  <si>
    <t>SOUTH DAKOTA</t>
  </si>
  <si>
    <t>South Dakota Department of Education</t>
  </si>
  <si>
    <t>TENNESSEE</t>
  </si>
  <si>
    <t>Tennessee Department of Education</t>
  </si>
  <si>
    <t>TEXAS</t>
  </si>
  <si>
    <t>TEXAS EDUCATION AGENCY</t>
  </si>
  <si>
    <t>UTAH</t>
  </si>
  <si>
    <t>Utah State Board of Education</t>
  </si>
  <si>
    <t>VERMONT</t>
  </si>
  <si>
    <t>Vermont Agency of Education</t>
  </si>
  <si>
    <t>VIRGINIA</t>
  </si>
  <si>
    <t>Virginia Department of Education</t>
  </si>
  <si>
    <t>WASHINGTON</t>
  </si>
  <si>
    <t>Office of Superintendent of Public Instruction</t>
  </si>
  <si>
    <t>WEST VIRGINIA</t>
  </si>
  <si>
    <t>West Virginia Department of Education</t>
  </si>
  <si>
    <t>WISCONSIN</t>
  </si>
  <si>
    <t>Wisconsin Dept of Public Instruction</t>
  </si>
  <si>
    <t>WYOMING</t>
  </si>
  <si>
    <t>Wyoming Department of Education</t>
  </si>
  <si>
    <t>Data Source: U.S. Department of Education National Center for Education Statistics Common Core of Data (CCD) "Local Education Agency (School District) Universe Survey" 2020-21 v.1a; "Public Elementary/Secondary School Universe Survey" 2020-21 v.1a; "State Nonfiscal Public Elementary/Secondary Education Survey" 2020-21 v.1a  2021-22 v.1a.</t>
  </si>
  <si>
    <t>† indicates that the data are not applicable.</t>
  </si>
  <si>
    <t>– indicates that the data are missing.</t>
  </si>
  <si>
    <t>‡ indicates that the data do not meet NCES data quality standards.</t>
  </si>
  <si>
    <t>ptr</t>
  </si>
  <si>
    <t>fte</t>
  </si>
  <si>
    <t>State</t>
  </si>
  <si>
    <t>Minimum amount of instructional times per school year</t>
  </si>
  <si>
    <t>Minimum number of hours per school day</t>
  </si>
  <si>
    <t>School</t>
  </si>
  <si>
    <t>(by grade, if applicable)</t>
  </si>
  <si>
    <t>start/finish</t>
  </si>
  <si>
    <t>In days</t>
  </si>
  <si>
    <t>In hours</t>
  </si>
  <si>
    <t>6.0 hours</t>
  </si>
  <si>
    <t>District option</t>
  </si>
  <si>
    <t>(excludes lunch and recess)</t>
  </si>
  <si>
    <t>data from https://nces.ed.gov/programs/statereform/1_eap.asp</t>
  </si>
  <si>
    <t>1,2</t>
  </si>
  <si>
    <t>Kindergarten-grade 3=740</t>
  </si>
  <si>
    <t>Grades 1-3=4.0 hours</t>
  </si>
  <si>
    <t>Grades 4-12=900</t>
  </si>
  <si>
    <t>Grades 4-12=5.0 hours</t>
  </si>
  <si>
    <t>(excludes intermissions)</t>
  </si>
  <si>
    <t>Grades 1-3=712</t>
  </si>
  <si>
    <t>†</t>
  </si>
  <si>
    <t>Grades 4-8=890</t>
  </si>
  <si>
    <t>Grades 9-12=720</t>
  </si>
  <si>
    <t>(includes lunch)</t>
  </si>
  <si>
    <t>Set by the Standards for Accreditation of Arkansas</t>
  </si>
  <si>
    <t>6.0 hours/day, 30.0 hours/week</t>
  </si>
  <si>
    <t>Start on or after the Monday of the week in which 8/19 falls; no earlier than 8/14 and no later than 8/26</t>
  </si>
  <si>
    <t>(At least 40 minutes of recess must be included for elementary schools)</t>
  </si>
  <si>
    <t>Kindergarten=600</t>
  </si>
  <si>
    <t>Kindergarten=3.0 hours</t>
  </si>
  <si>
    <t>4,5</t>
  </si>
  <si>
    <t>Grades 1-3=840</t>
  </si>
  <si>
    <t>Grades 1-3=3.8 hours</t>
  </si>
  <si>
    <t>Grades 4-8=900</t>
  </si>
  <si>
    <t>Grades 4-12=4.0 hours</t>
  </si>
  <si>
    <t>Grades 9-12=1,080</t>
  </si>
  <si>
    <t>(excludes noon intermissions for kindergarten-grade 8; excludes recess except for in kindergarten)</t>
  </si>
  <si>
    <t>Half-day kindergarten=450</t>
  </si>
  <si>
    <t>Full-day kindergarten=900</t>
  </si>
  <si>
    <t>Grades 1-5=990</t>
  </si>
  <si>
    <t>Grades 6-12=1,080</t>
  </si>
  <si>
    <t>Grades 1-12=900</t>
  </si>
  <si>
    <t>Kindergarten-grade 11=1,060</t>
  </si>
  <si>
    <t>3.5 hours</t>
  </si>
  <si>
    <t>Grade 12=1,032</t>
  </si>
  <si>
    <t>(excludes lunch)</t>
  </si>
  <si>
    <t>5.0 hours</t>
  </si>
  <si>
    <t>District option (single district)</t>
  </si>
  <si>
    <t>Kindergarten-grade 3=720</t>
  </si>
  <si>
    <t>Kindergarten-grade 3=4.5 hours</t>
  </si>
  <si>
    <t>Grades 4-5=5.0 hours</t>
  </si>
  <si>
    <t>Grades 6-12=5.5 hours</t>
  </si>
  <si>
    <t>Set by the board of trustees of each school district</t>
  </si>
  <si>
    <t>Kindergarten=450</t>
  </si>
  <si>
    <t>Grades 1-3=810</t>
  </si>
  <si>
    <t>Grades 9-12=990</t>
  </si>
  <si>
    <t>(excludes recess, lunch, and passing periods)</t>
  </si>
  <si>
    <t>Half-day kindergarten=2.0 hours</t>
  </si>
  <si>
    <t>Full-day kindergarten-grade 1=4.0 hours</t>
  </si>
  <si>
    <t>Grades 2-12=5.0 hours</t>
  </si>
  <si>
    <t>Grades 1-6=5.0 hours</t>
  </si>
  <si>
    <t>Grades 7-12=6.0 hours</t>
  </si>
  <si>
    <t>(excludes recess and lunch)</t>
  </si>
  <si>
    <t>Grades 1-12=6.0 hours/day or 30.0 hours/week</t>
  </si>
  <si>
    <t>Start no sooner than 8/23 and no later than the first Monday in December</t>
  </si>
  <si>
    <t>(excludes lunch, includes passing periods)</t>
  </si>
  <si>
    <t>Grades 1-11=186</t>
  </si>
  <si>
    <t>Kindergarten=465</t>
  </si>
  <si>
    <t>Grade 12=181</t>
  </si>
  <si>
    <t>Grades 1-11=1,116</t>
  </si>
  <si>
    <t>Grade 12=1,086</t>
  </si>
  <si>
    <t>1,4</t>
  </si>
  <si>
    <t>Grades 1-12=6.0 hours</t>
  </si>
  <si>
    <t>(excludes recess)</t>
  </si>
  <si>
    <t>2,10</t>
  </si>
  <si>
    <t>Kindergarten=2.5 hours</t>
  </si>
  <si>
    <t>Grades 1-12=5.0 hours</t>
  </si>
  <si>
    <t>3.0 hours</t>
  </si>
  <si>
    <t>Start no earlier than the Tuesday immediately following Labor Day. Finish no later than 6/15</t>
  </si>
  <si>
    <t>1,170 for public high schools</t>
  </si>
  <si>
    <t>Kindergarten=425</t>
  </si>
  <si>
    <t>Grades 1-5=900</t>
  </si>
  <si>
    <t>Grades 6-12=990</t>
  </si>
  <si>
    <t>(excludes lunch, recess, passing periods, homeroom, non-directed study periods and time spent receiving school services or participating in optional school programs)</t>
  </si>
  <si>
    <t>Start after Labor Day</t>
  </si>
  <si>
    <t>Grades 1-11=165</t>
  </si>
  <si>
    <t>Full-day kindergarten=850</t>
  </si>
  <si>
    <t>Grades 1-6=935</t>
  </si>
  <si>
    <t>Grades 7-12=1,020</t>
  </si>
  <si>
    <t>5.5 hours</t>
  </si>
  <si>
    <t>Kindergarten=522</t>
  </si>
  <si>
    <t>Start no earlier than 14 days prior to the first Monday in September</t>
  </si>
  <si>
    <t>Grades 1-12=1,044</t>
  </si>
  <si>
    <t>Set by the trustees of a school district</t>
  </si>
  <si>
    <t>Half-day kindergarten=360</t>
  </si>
  <si>
    <t>Full-day kindergarten=720</t>
  </si>
  <si>
    <t>Grades 1-3=720</t>
  </si>
  <si>
    <t>Grades 4-12=1,080</t>
  </si>
  <si>
    <t>Kindergarten=400</t>
  </si>
  <si>
    <t>Set by the State Board of Education</t>
  </si>
  <si>
    <t>Grades 1-8=1,032</t>
  </si>
  <si>
    <t>2,16</t>
  </si>
  <si>
    <t>Kindergarten=2.0 hours</t>
  </si>
  <si>
    <t>Grades 1-2=4.0 hours</t>
  </si>
  <si>
    <t>Grades 3-6=5.0 hours</t>
  </si>
  <si>
    <t>Grades 7-12=5.5 hours</t>
  </si>
  <si>
    <t>(includes recess and time between lessons, excludes lunch)</t>
  </si>
  <si>
    <t>1,10</t>
  </si>
  <si>
    <t>Elementary schools=945</t>
  </si>
  <si>
    <t>Middle and high schools=990</t>
  </si>
  <si>
    <t>Full-day kindergarten=2.5 hours</t>
  </si>
  <si>
    <t>Grades 1-12=4.0 hours</t>
  </si>
  <si>
    <t>Half-day kindergarten=2.5 hours</t>
  </si>
  <si>
    <t>Full-day kindergarten=990</t>
  </si>
  <si>
    <t>Full-day kindergarten=5.5 hours</t>
  </si>
  <si>
    <t>Grades 1-6=990</t>
  </si>
  <si>
    <t>Grades 1-6=5.5 hours</t>
  </si>
  <si>
    <t>Grades 7-12=1,080</t>
  </si>
  <si>
    <t>Full-day kindergarten=5.0 hours</t>
  </si>
  <si>
    <t>Grades 1-6=900</t>
  </si>
  <si>
    <t>Grades 7-12=990</t>
  </si>
  <si>
    <t>(excludes lunch for grades 7-12)</t>
  </si>
  <si>
    <t>Set by the local school board</t>
  </si>
  <si>
    <t>Start on the Monday closest to 8/26. Finish no later than the Friday closest to 6/11.</t>
  </si>
  <si>
    <t>Half-day kindergarten=481</t>
  </si>
  <si>
    <t>Half-day kindergarten=2.8 hours</t>
  </si>
  <si>
    <t>Full-day kindergarten=962</t>
  </si>
  <si>
    <t>Grades 1-5=962</t>
  </si>
  <si>
    <t>Elementary schools=5.5 hours</t>
  </si>
  <si>
    <t>Grades 6-12=1,050</t>
  </si>
  <si>
    <t>High schools=6.0 hours</t>
  </si>
  <si>
    <t>(excludes lunch and breaks)</t>
  </si>
  <si>
    <t>Set by the board of education of each city</t>
  </si>
  <si>
    <t>Full-day kindergarten=910</t>
  </si>
  <si>
    <t>Grades 1-6=910</t>
  </si>
  <si>
    <t>Grades 7-12=1,001</t>
  </si>
  <si>
    <t>(excludes lunch, includes recess for kindergarten-grade 6)</t>
  </si>
  <si>
    <t>1,20</t>
  </si>
  <si>
    <t>Grades 1-8=900</t>
  </si>
  <si>
    <t>Grades 9-11=990</t>
  </si>
  <si>
    <t>Grade 12=966</t>
  </si>
  <si>
    <t>(includes recess for kindergarten-grade 3)</t>
  </si>
  <si>
    <t>Grades 1-8=5.0 hours</t>
  </si>
  <si>
    <t>Grades 9-12=5.5 hours</t>
  </si>
  <si>
    <t>Kindergarten=5.5 hours</t>
  </si>
  <si>
    <t>Start no later than the first Thursday following the first Monday in September</t>
  </si>
  <si>
    <t>Start no earlier than third Monday in August</t>
  </si>
  <si>
    <t>(includes lunch for elementary school)</t>
  </si>
  <si>
    <t>Kindergarten=438</t>
  </si>
  <si>
    <t>Start on or after the first Tuesday following the first Monday in September</t>
  </si>
  <si>
    <t>Grades 1-5=875</t>
  </si>
  <si>
    <t>Grades 6-12=963</t>
  </si>
  <si>
    <t>Kindergarten=4.0 hours</t>
  </si>
  <si>
    <t>Start no earlier than 8/1</t>
  </si>
  <si>
    <t>Grades 1-12=6.5 hours</t>
  </si>
  <si>
    <t>1,260 hours</t>
  </si>
  <si>
    <t>7.0 hours</t>
  </si>
  <si>
    <t>Start after the fourth Monday in August. Finish after 5/15</t>
  </si>
  <si>
    <t>(includes intermission and recess)</t>
  </si>
  <si>
    <t>(excludes lunch and passing periods)</t>
  </si>
  <si>
    <t>Kindergarten=540</t>
  </si>
  <si>
    <t>Start no earlier than 14 days before Labor Day</t>
  </si>
  <si>
    <t>Grades 1-12=990</t>
  </si>
  <si>
    <t>Grades 1-12=5.5 hours</t>
  </si>
  <si>
    <t>(excludes lunch, includes passing periods, and includes recess for elementary schools)</t>
  </si>
  <si>
    <t>Grades 1-8=1,000</t>
  </si>
  <si>
    <t>Kindergarten-grade 5=5.3 hours</t>
  </si>
  <si>
    <t>Grades 6-8=5.5 hours</t>
  </si>
  <si>
    <t>Grades 9-12=5.8 hours</t>
  </si>
  <si>
    <t>Kindergarten=437</t>
  </si>
  <si>
    <t>Start no earlier than 9/1</t>
  </si>
  <si>
    <t>Grades 1-6=1,050</t>
  </si>
  <si>
    <t>Grades 7-12=1,137</t>
  </si>
  <si>
    <t>(includes recess and passing periods, excludes lunch)</t>
  </si>
  <si>
    <t>Set by the trustees of each school district</t>
  </si>
  <si>
    <t>Grades 6-8=1,050</t>
  </si>
  <si>
    <t>Grades 9-12=1,100</t>
  </si>
  <si>
    <t>† Not applicable. State does not have a requirement in this category.</t>
  </si>
  <si>
    <r>
      <t>1</t>
    </r>
    <r>
      <rPr>
        <sz val="8"/>
        <color rgb="FF2E2E2E"/>
        <rFont val="Arial"/>
        <family val="2"/>
      </rPr>
      <t> Districts have the option to meet either minimum hours per school year or days per school year.</t>
    </r>
  </si>
  <si>
    <r>
      <t>2</t>
    </r>
    <r>
      <rPr>
        <sz val="8"/>
        <color rgb="FF2E2E2E"/>
        <rFont val="Arial"/>
        <family val="2"/>
      </rPr>
      <t> The minimum number of instructional days may include in-service professional development days, staff development, parent-teacher conferences, planning, or similar activities.</t>
    </r>
  </si>
  <si>
    <t>3 In California, charter schools and select districts are required 175 days. More details may be found at: https://www.cde.ca.gov/fg/aa/pa/lcffitfaq.asp.</t>
  </si>
  <si>
    <r>
      <t>4</t>
    </r>
    <r>
      <rPr>
        <sz val="8"/>
        <color rgb="FF2E2E2E"/>
        <rFont val="Arial"/>
        <family val="2"/>
      </rPr>
      <t> Specifies instructional time in minutes.</t>
    </r>
  </si>
  <si>
    <r>
      <t>5</t>
    </r>
    <r>
      <rPr>
        <sz val="8"/>
        <color rgb="FF2E2E2E"/>
        <rFont val="Arial"/>
        <family val="2"/>
      </rPr>
      <t> The minimum number of hours per school day are rounded.</t>
    </r>
  </si>
  <si>
    <r>
      <t>6 </t>
    </r>
    <r>
      <rPr>
        <sz val="8"/>
        <color rgb="FF2E2E2E"/>
        <rFont val="Arial"/>
        <family val="2"/>
      </rPr>
      <t>In Connecticut, districts may count up to 7 hours/day toward the total required for the year.</t>
    </r>
  </si>
  <si>
    <r>
      <t>7</t>
    </r>
    <r>
      <rPr>
        <sz val="8"/>
        <color rgb="FF2E2E2E"/>
        <rFont val="Arial"/>
        <family val="2"/>
      </rPr>
      <t> In Hawaii, the minimum amount of instructional time does not apply to charter and multi-track schools.</t>
    </r>
  </si>
  <si>
    <r>
      <t>8</t>
    </r>
    <r>
      <rPr>
        <sz val="8"/>
        <color rgb="FF2E2E2E"/>
        <rFont val="Arial"/>
        <family val="2"/>
      </rPr>
      <t> The minimum number of instructional days may exclude professional development days, in-service education, planning, parent-teacher conferences, and similar activities.</t>
    </r>
  </si>
  <si>
    <r>
      <t>9</t>
    </r>
    <r>
      <rPr>
        <sz val="8"/>
        <color rgb="FF2E2E2E"/>
        <rFont val="Arial"/>
        <family val="2"/>
      </rPr>
      <t> In Kentucky, kindergarten programs may operate for less than 6 hours with state board approval.</t>
    </r>
  </si>
  <si>
    <r>
      <t>10</t>
    </r>
    <r>
      <rPr>
        <sz val="8"/>
        <color rgb="FF2E2E2E"/>
        <rFont val="Arial"/>
        <family val="2"/>
      </rPr>
      <t> In Maine and New Hampshire, students in grade 12 may be allowed up to graduate five days prior to the end of the regular school year.</t>
    </r>
  </si>
  <si>
    <r>
      <t>11</t>
    </r>
    <r>
      <rPr>
        <sz val="8"/>
        <color rgb="FF2E2E2E"/>
        <rFont val="Arial"/>
        <family val="2"/>
      </rPr>
      <t> In Maine, the minimum length of a day is 3 hours, but the average over a 2-week period must be at least 5 hours.</t>
    </r>
  </si>
  <si>
    <r>
      <t>12</t>
    </r>
    <r>
      <rPr>
        <sz val="8"/>
        <color rgb="FF2E2E2E"/>
        <rFont val="Arial"/>
        <family val="2"/>
      </rPr>
      <t> In Maryland, a county board may extend the length of the school year for up to 5 days beyond June 15 without approval from the State Board.</t>
    </r>
  </si>
  <si>
    <r>
      <t>13 </t>
    </r>
    <r>
      <rPr>
        <sz val="8"/>
        <color rgb="FF2E2E2E"/>
        <rFont val="Arial"/>
        <family val="2"/>
      </rPr>
      <t>In Massachusetts, schools must schedule at least 185 days. Students in grade 12 may graduate up to 12 days early.</t>
    </r>
  </si>
  <si>
    <r>
      <t>14</t>
    </r>
    <r>
      <rPr>
        <sz val="8"/>
        <color rgb="FF2E2E2E"/>
        <rFont val="Arial"/>
        <family val="2"/>
      </rPr>
      <t> In Missouri, starting in the 2020–21 school year, schools may start earlier if they give appropriate public notice.</t>
    </r>
  </si>
  <si>
    <r>
      <t>15</t>
    </r>
    <r>
      <rPr>
        <sz val="8"/>
        <color rgb="FF2E2E2E"/>
        <rFont val="Arial"/>
        <family val="2"/>
      </rPr>
      <t> In Montana, graduating students in grade 12 are only required to attend 1,050 hours.</t>
    </r>
  </si>
  <si>
    <r>
      <t>16</t>
    </r>
    <r>
      <rPr>
        <sz val="8"/>
        <color rgb="FF2E2E2E"/>
        <rFont val="Arial"/>
        <family val="2"/>
      </rPr>
      <t> In Nevada, alternative schedules can be approved in certain circumstances if they provide equal to or greater than the number of minutes of instruction that would be provided on a 180 day schedule.</t>
    </r>
  </si>
  <si>
    <r>
      <t>17</t>
    </r>
    <r>
      <rPr>
        <sz val="8"/>
        <color rgb="FF2E2E2E"/>
        <rFont val="Arial"/>
        <family val="2"/>
      </rPr>
      <t> New Hampshire sets maximum rather than minimum hours of instructional time per day: elementary schools=5.75 hours; middle and high schools=6 hours. Lunch, home room periods, passing time, and breaks do not count toward instructional time. Recess may count up to 30 minutes per day for elementary school students.</t>
    </r>
  </si>
  <si>
    <r>
      <t>18</t>
    </r>
    <r>
      <rPr>
        <sz val="8"/>
        <color rgb="FF2E2E2E"/>
        <rFont val="Arial"/>
        <family val="2"/>
      </rPr>
      <t> In New Mexico, some hours may be used for home visits or for parent-teacher conferences, depending on grade level.</t>
    </r>
  </si>
  <si>
    <r>
      <t>19</t>
    </r>
    <r>
      <rPr>
        <sz val="8"/>
        <color rgb="FF2E2E2E"/>
        <rFont val="Arial"/>
        <family val="2"/>
      </rPr>
      <t> In North Dakota, minimum number of hours for half-day kindergarten rounded to 481 hours from 481.25 hours. Minimum hours for full-day kindergarten and grades 1-5 rounded down to 962 hours from 962.5 hours to convey that the required hours for these grades are double the hours required for half-day kindergarten.</t>
    </r>
  </si>
  <si>
    <r>
      <t>20</t>
    </r>
    <r>
      <rPr>
        <sz val="8"/>
        <color rgb="FF2E2E2E"/>
        <rFont val="Arial"/>
        <family val="2"/>
      </rPr>
      <t> In Oklahoma, beginning in the 2021–22 school year, the minimum hours must be met within 165 days of instruction.</t>
    </r>
  </si>
  <si>
    <r>
      <t>21 </t>
    </r>
    <r>
      <rPr>
        <sz val="8"/>
        <color rgb="FF2E2E2E"/>
        <rFont val="Arial"/>
        <family val="2"/>
      </rPr>
      <t>Oregon sets maximum, rather than minimum, hours/day: kindergarten-grade 8=8.0 hours; grades 9-12=8.5 hours.</t>
    </r>
  </si>
  <si>
    <r>
      <t>22</t>
    </r>
    <r>
      <rPr>
        <sz val="8"/>
        <color rgb="FF2E2E2E"/>
        <rFont val="Arial"/>
        <family val="2"/>
      </rPr>
      <t> In South Dakota, school boards may release students in grade 12 prior to the end of the school year. Additionally, minimum number of hours for kindergarten students rounded to 438 from 437.5, and minimum number of hours for grades 6-2 rounded to 963 from 962.5.</t>
    </r>
  </si>
  <si>
    <t>NOTE: There are many exceptions to instructional time requirements across states and not all of them are indicated here. Unless otherwise indicated, states that have hours per year and days per year require both.</t>
  </si>
  <si>
    <r>
      <t>SOURCE: Education Commission of the States, </t>
    </r>
    <r>
      <rPr>
        <i/>
        <sz val="8"/>
        <color rgb="FF2E2E2E"/>
        <rFont val="Arial"/>
        <family val="2"/>
      </rPr>
      <t>50 State Comparison: Instructional Time Policies,</t>
    </r>
    <r>
      <rPr>
        <sz val="8"/>
        <color rgb="FF2E2E2E"/>
        <rFont val="Arial"/>
        <family val="2"/>
      </rPr>
      <t> retrieved November 19, 2020 from </t>
    </r>
    <r>
      <rPr>
        <u/>
        <sz val="8"/>
        <color rgb="FF0000CC"/>
        <rFont val="Arial"/>
        <family val="2"/>
      </rPr>
      <t>https://www.ecs.org/50-state-comparison-instructional-time-policies/</t>
    </r>
    <r>
      <rPr>
        <sz val="8"/>
        <color rgb="FF2E2E2E"/>
        <rFont val="Arial"/>
        <family val="2"/>
      </rPr>
      <t>. </t>
    </r>
    <r>
      <rPr>
        <u/>
        <sz val="8"/>
        <color rgb="FF0000CC"/>
        <rFont val="Arial"/>
        <family val="2"/>
      </rPr>
      <t>Data Source</t>
    </r>
    <r>
      <rPr>
        <sz val="8"/>
        <color rgb="FF2E2E2E"/>
        <rFont val="Arial"/>
        <family val="2"/>
      </rPr>
      <t>.</t>
    </r>
  </si>
  <si>
    <t>Compulsory</t>
  </si>
  <si>
    <t>Kindergarten</t>
  </si>
  <si>
    <t>State requires full day k</t>
  </si>
  <si>
    <t>State requires hald day k</t>
  </si>
  <si>
    <t>State requires k attend</t>
  </si>
  <si>
    <t>school age</t>
  </si>
  <si>
    <t>entrance age</t>
  </si>
  <si>
    <t>district to offer</t>
  </si>
  <si>
    <t>kindergarten</t>
  </si>
  <si>
    <t>full-day</t>
  </si>
  <si>
    <t>half-day</t>
  </si>
  <si>
    <t>attendance</t>
  </si>
  <si>
    <t>program</t>
  </si>
  <si>
    <t>United States</t>
  </si>
  <si>
    <t>5 on or before 9/1</t>
  </si>
  <si>
    <t>Yes</t>
  </si>
  <si>
    <t>No</t>
  </si>
  <si>
    <t>5 on or before 8/31</t>
  </si>
  <si>
    <t>5 on or before 8/1</t>
  </si>
  <si>
    <t>5 on or before 10/1</t>
  </si>
  <si>
    <t>5 on or before 1/1</t>
  </si>
  <si>
    <t>5 on or before 9/30</t>
  </si>
  <si>
    <t>5 by 9/1</t>
  </si>
  <si>
    <t>5 on or before 7/31</t>
  </si>
  <si>
    <t>5 by 9/15</t>
  </si>
  <si>
    <t>5 by 9/30</t>
  </si>
  <si>
    <t>5 on or before 10/15</t>
  </si>
  <si>
    <t>Each district may</t>
  </si>
  <si>
    <t>establish its own</t>
  </si>
  <si>
    <t>minimum</t>
  </si>
  <si>
    <t>permissible age for</t>
  </si>
  <si>
    <t>school attendance</t>
  </si>
  <si>
    <t>5 on or before 9/10</t>
  </si>
  <si>
    <t>Not specified in</t>
  </si>
  <si>
    <t>statute or regulation</t>
  </si>
  <si>
    <t>Local education</t>
  </si>
  <si>
    <t>agency (LEA) option</t>
  </si>
  <si>
    <t>LEA option</t>
  </si>
  <si>
    <t>5 on or before 8/15</t>
  </si>
  <si>
    <t>5 on or before 9/15</t>
  </si>
  <si>
    <t>† Not applicable.</t>
  </si>
  <si>
    <r>
      <t>1 </t>
    </r>
    <r>
      <rPr>
        <sz val="8"/>
        <color rgb="FF2E2E2E"/>
        <rFont val="Arial"/>
        <family val="2"/>
      </rPr>
      <t>The total reflects the number of "Yes" responses in the column.</t>
    </r>
  </si>
  <si>
    <r>
      <t>2 </t>
    </r>
    <r>
      <rPr>
        <sz val="8"/>
        <color rgb="FF2E2E2E"/>
        <rFont val="Arial"/>
        <family val="2"/>
      </rPr>
      <t>Districts must offer either full-day or half-day kindergarten. In Texas, this is an option for a school district's board of trustees.</t>
    </r>
  </si>
  <si>
    <r>
      <t>3</t>
    </r>
    <r>
      <rPr>
        <sz val="8"/>
        <color rgb="FF2E2E2E"/>
        <rFont val="Arial"/>
        <family val="2"/>
      </rPr>
      <t> Children who are 4 or 5 years old and enrolled in a school district are considered to be compulsory attendance age unless a parent or legal guardian notifies the school district in writing of their intent to remove their child from enrollment.</t>
    </r>
  </si>
  <si>
    <r>
      <t>4 </t>
    </r>
    <r>
      <rPr>
        <sz val="8"/>
        <color rgb="FF2E2E2E"/>
        <rFont val="Arial"/>
        <family val="2"/>
      </rPr>
      <t>Or children must otherwise satisfactorily pass an academic readiness screening upon enrollment in grade 1.</t>
    </r>
  </si>
  <si>
    <r>
      <t>5</t>
    </r>
    <r>
      <rPr>
        <sz val="8"/>
        <color rgb="FF2E2E2E"/>
        <rFont val="Arial"/>
        <family val="2"/>
      </rPr>
      <t> A child between ages 5 and 7 can be excused from school attendance if a parent or guardian makes a written request that the child be dropped from the school’s rolls.</t>
    </r>
  </si>
  <si>
    <r>
      <t>6</t>
    </r>
    <r>
      <rPr>
        <sz val="8"/>
        <color rgb="FF2E2E2E"/>
        <rFont val="Arial"/>
        <family val="2"/>
      </rPr>
      <t> Metropolitan districts can establish a policy that a child must be 5 on or before any date between August 1 and October 1.</t>
    </r>
  </si>
  <si>
    <r>
      <t>7</t>
    </r>
    <r>
      <rPr>
        <sz val="8"/>
        <color rgb="FF2E2E2E"/>
        <rFont val="Arial"/>
        <family val="2"/>
      </rPr>
      <t> Or children must otherwise be assessed as prepared to enter grade 1.</t>
    </r>
  </si>
  <si>
    <r>
      <t>8</t>
    </r>
    <r>
      <rPr>
        <sz val="8"/>
        <color rgb="FF2E2E2E"/>
        <rFont val="Arial"/>
        <family val="2"/>
      </rPr>
      <t> Districts may admit children ages 4 and 5, and they must admit children ages 5 to 6. The cutoff date must be after October 1.</t>
    </r>
  </si>
  <si>
    <r>
      <t>9 </t>
    </r>
    <r>
      <rPr>
        <sz val="8"/>
        <color rgb="FF2E2E2E"/>
        <rFont val="Arial"/>
        <family val="2"/>
      </rPr>
      <t>Children are required to attend full-day kindergarten in the Abbott Districts.</t>
    </r>
  </si>
  <si>
    <r>
      <t>10 </t>
    </r>
    <r>
      <rPr>
        <sz val="8"/>
        <color rgb="FF2E2E2E"/>
        <rFont val="Arial"/>
        <family val="2"/>
      </rPr>
      <t>Students must be between the ages of 4 and 6.</t>
    </r>
  </si>
  <si>
    <r>
      <t>11 </t>
    </r>
    <r>
      <rPr>
        <sz val="8"/>
        <color rgb="FF2E2E2E"/>
        <rFont val="Arial"/>
        <family val="2"/>
      </rPr>
      <t>The initial entry point into school is kindergarten, but a principal may override this for an exceptionally mature student and place the child in grade 1.</t>
    </r>
  </si>
  <si>
    <r>
      <t>12</t>
    </r>
    <r>
      <rPr>
        <sz val="8"/>
        <color rgb="FF2E2E2E"/>
        <rFont val="Arial"/>
        <family val="2"/>
      </rPr>
      <t> Districts may adopt a resolution establishing August 1 instead of September 30 as the required date by which students must have attained a specified age.</t>
    </r>
  </si>
  <si>
    <r>
      <t>13</t>
    </r>
    <r>
      <rPr>
        <sz val="8"/>
        <color rgb="FF2E2E2E"/>
        <rFont val="Arial"/>
        <family val="2"/>
      </rPr>
      <t> Minimum half-day attendance.</t>
    </r>
  </si>
  <si>
    <r>
      <t>14</t>
    </r>
    <r>
      <rPr>
        <sz val="8"/>
        <color rgb="FF2E2E2E"/>
        <rFont val="Arial"/>
        <family val="2"/>
      </rPr>
      <t> Students must be between the ages of 4 and 6. Minimum age for kindergarten entrance is 4 years 7 months before the first day of the school year.</t>
    </r>
  </si>
  <si>
    <r>
      <t>15</t>
    </r>
    <r>
      <rPr>
        <sz val="8"/>
        <color rgb="FF2E2E2E"/>
        <rFont val="Arial"/>
        <family val="2"/>
      </rPr>
      <t> LEA may require students admitted to kindergarten to attain the age of 5 on or before August 31 and January 1.</t>
    </r>
  </si>
  <si>
    <r>
      <t>16</t>
    </r>
    <r>
      <rPr>
        <sz val="8"/>
        <color rgb="FF2E2E2E"/>
        <rFont val="Arial"/>
        <family val="2"/>
      </rPr>
      <t> Beginning in the 2018–19 school year, districts must offer prekindergarten to all children who are 4 years old before July 1.</t>
    </r>
  </si>
  <si>
    <r>
      <t>17</t>
    </r>
    <r>
      <rPr>
        <sz val="8"/>
        <color rgb="FF2E2E2E"/>
        <rFont val="Arial"/>
        <family val="2"/>
      </rPr>
      <t> Kindergarten entrance age is 5 on or before September 1 for 5-year-old kindergarten or 4 on or before September 1 for 4-year-old kindergarten.</t>
    </r>
  </si>
  <si>
    <r>
      <t>18</t>
    </r>
    <r>
      <rPr>
        <sz val="8"/>
        <color rgb="FF2E2E2E"/>
        <rFont val="Arial"/>
        <family val="2"/>
      </rPr>
      <t> Children must attend in districts that offer kindergarten.</t>
    </r>
  </si>
  <si>
    <r>
      <t>19</t>
    </r>
    <r>
      <rPr>
        <sz val="8"/>
        <color rgb="FF2E2E2E"/>
        <rFont val="Arial"/>
        <family val="2"/>
      </rPr>
      <t> The state requires that LEAs offer half-day kindergarten. School districts must establish and maintain relationships with a district that offers one full-day kindergarten.</t>
    </r>
  </si>
  <si>
    <r>
      <t>SOURCE: Education Commission of the States, </t>
    </r>
    <r>
      <rPr>
        <i/>
        <sz val="8"/>
        <color rgb="FF2E2E2E"/>
        <rFont val="Arial"/>
        <family val="2"/>
      </rPr>
      <t>50-State Comparison: State K-3 Policies</t>
    </r>
    <r>
      <rPr>
        <sz val="8"/>
        <color rgb="FF2E2E2E"/>
        <rFont val="Arial"/>
        <family val="2"/>
      </rPr>
      <t>, retrieved December 28, 2020, from </t>
    </r>
    <r>
      <rPr>
        <u/>
        <sz val="8"/>
        <color rgb="FF0000CC"/>
        <rFont val="Arial"/>
        <family val="2"/>
      </rPr>
      <t>https://www.ecs.org/kindergarten-policies/</t>
    </r>
    <r>
      <rPr>
        <sz val="8"/>
        <color rgb="FF2E2E2E"/>
        <rFont val="Arial"/>
        <family val="2"/>
      </rPr>
      <t>, and </t>
    </r>
    <r>
      <rPr>
        <i/>
        <sz val="8"/>
        <color rgb="FF2E2E2E"/>
        <rFont val="Arial"/>
        <family val="2"/>
      </rPr>
      <t>50-State Comparison: Free and Compulsory School Age Requirements</t>
    </r>
    <r>
      <rPr>
        <sz val="8"/>
        <color rgb="FF2E2E2E"/>
        <rFont val="Arial"/>
        <family val="2"/>
      </rPr>
      <t>, retrieved December 28, 2020, from </t>
    </r>
    <r>
      <rPr>
        <u/>
        <sz val="8"/>
        <color rgb="FF0000CC"/>
        <rFont val="Arial"/>
        <family val="2"/>
      </rPr>
      <t>https://www.ecs.org/50-state-comparison-free-and-compulsory-school-age-requirements/</t>
    </r>
    <r>
      <rPr>
        <sz val="8"/>
        <color rgb="FF2E2E2E"/>
        <rFont val="Arial"/>
        <family val="2"/>
      </rPr>
      <t>. </t>
    </r>
    <r>
      <rPr>
        <u/>
        <sz val="8"/>
        <color rgb="FF0000CC"/>
        <rFont val="Arial"/>
        <family val="2"/>
      </rPr>
      <t>Data Source</t>
    </r>
    <r>
      <rPr>
        <sz val="8"/>
        <color rgb="FF2E2E2E"/>
        <rFont val="Arial"/>
        <family val="2"/>
      </rPr>
      <t>.</t>
    </r>
  </si>
  <si>
    <t>Table 7.1. Test requirements for initial certification of elementary and secondary teachers, by type of test and state: 2017 and 2018</t>
  </si>
  <si>
    <t>Type of test, 2017</t>
  </si>
  <si>
    <t>Type of test, 2018</t>
  </si>
  <si>
    <t>Basic</t>
  </si>
  <si>
    <t>Subject-</t>
  </si>
  <si>
    <t>Knowledge</t>
  </si>
  <si>
    <t>Assessment</t>
  </si>
  <si>
    <t>skills</t>
  </si>
  <si>
    <t>matter</t>
  </si>
  <si>
    <t>of teaching exam</t>
  </si>
  <si>
    <t>of teaching</t>
  </si>
  <si>
    <t>data from https://nces.ed.gov/programs/statereform/7_sq.asp</t>
  </si>
  <si>
    <t>exam</t>
  </si>
  <si>
    <t>performance</t>
  </si>
  <si>
    <r>
      <t>United States</t>
    </r>
    <r>
      <rPr>
        <vertAlign val="superscript"/>
        <sz val="8"/>
        <color rgb="FF000000"/>
        <rFont val="Verdana"/>
        <family val="2"/>
      </rPr>
      <t>1</t>
    </r>
  </si>
  <si>
    <r>
      <t>Alabama</t>
    </r>
    <r>
      <rPr>
        <vertAlign val="superscript"/>
        <sz val="8"/>
        <color rgb="FF000000"/>
        <rFont val="Verdana"/>
        <family val="2"/>
      </rPr>
      <t>2</t>
    </r>
  </si>
  <si>
    <t>—</t>
  </si>
  <si>
    <r>
      <t>Illinois</t>
    </r>
    <r>
      <rPr>
        <vertAlign val="superscript"/>
        <sz val="8"/>
        <color rgb="FF000000"/>
        <rFont val="Verdana"/>
        <family val="2"/>
      </rPr>
      <t>5</t>
    </r>
  </si>
  <si>
    <t>— Not available.</t>
  </si>
  <si>
    <r>
      <t>1</t>
    </r>
    <r>
      <rPr>
        <sz val="8"/>
        <color rgb="FF2E2E2E"/>
        <rFont val="Arial"/>
        <family val="2"/>
      </rPr>
      <t> National total reflects the number of "Yes" responses for each column.</t>
    </r>
  </si>
  <si>
    <r>
      <t>2</t>
    </r>
    <r>
      <rPr>
        <sz val="8"/>
        <color rgb="FF2E2E2E"/>
        <rFont val="Arial"/>
        <family val="2"/>
      </rPr>
      <t> All applicants for initial Alabama certification must document passing scores on three basic skills assessments (administered by ACT) in mathematics, reading and writing. For almost all teaching fields, a passing score on the designated content knowledge test (administered by Educational Testing Service) is required for initial certification.</t>
    </r>
  </si>
  <si>
    <r>
      <t>3</t>
    </r>
    <r>
      <rPr>
        <sz val="8"/>
        <color rgb="FF2E2E2E"/>
        <rFont val="Arial"/>
        <family val="2"/>
      </rPr>
      <t> California accepts college course work or exam for the single subject credential only; the multiple subject credential requires a subject matter examination.</t>
    </r>
  </si>
  <si>
    <r>
      <t>4</t>
    </r>
    <r>
      <rPr>
        <sz val="8"/>
        <color rgb="FF2E2E2E"/>
        <rFont val="Arial"/>
        <family val="2"/>
      </rPr>
      <t> Candidates seeking a Connecticut certificate to teach an occupational subject (i.e. electrical, plumbing, automotive, etc.) are required to hold a high school diploma or equivalent. Subject matter exams are required for persons seeking certification in the following areas: Biology, business education, chemistry, Earth science, elementary education, English, French, general science, German, health education, Italian, family and consumer sciences, mathematics, middle school English, middle school mathematics, middle school science, middle school social studies, music, physical education, physics, Russian, social studies, Spanish, special education, and technology education. Knowledge of teaching exams are required for elementary education. Candidates seeking a Connecticut coaching permit must be at least 18 years of age.</t>
    </r>
  </si>
  <si>
    <r>
      <t>5</t>
    </r>
    <r>
      <rPr>
        <sz val="8"/>
        <color rgb="FF2E2E2E"/>
        <rFont val="Arial"/>
        <family val="2"/>
      </rPr>
      <t> All programs must meet the National Council for the Accreditation of Teacher Education standards. Additional coursework required for individuals seeking an Illinois license in Learning Behavior Specialist 1, Reading Content, Reading Methods, and English as a Second Language/Bilingual Methods. All students in approved programs leading to a teaching endorsement are expected to have adequate knowledge of technology and such knowledge is assessed on the Assessment of Professional Teaching exam.</t>
    </r>
  </si>
  <si>
    <t>6 Required assessment tests listed at this website: http://www.education.ne.gov/EducatorPrep/IHE/SkillsTesting/ContentTestScores.pdf.</t>
  </si>
  <si>
    <r>
      <t>7 </t>
    </r>
    <r>
      <rPr>
        <sz val="8"/>
        <color rgb="FF2E2E2E"/>
        <rFont val="Arial"/>
        <family val="2"/>
      </rPr>
      <t>Basic skills test (communicative and quantitative skills test) only required for applicants for a transitional certificate for a specific career and technical title.</t>
    </r>
  </si>
  <si>
    <r>
      <t>8</t>
    </r>
    <r>
      <rPr>
        <sz val="8"/>
        <color rgb="FF2E2E2E"/>
        <rFont val="Arial"/>
        <family val="2"/>
      </rPr>
      <t> Basic skills tests are not required for certification but are required as part of program admissions.</t>
    </r>
  </si>
  <si>
    <r>
      <t>9 </t>
    </r>
    <r>
      <rPr>
        <sz val="8"/>
        <color rgb="FF2E2E2E"/>
        <rFont val="Arial"/>
        <family val="2"/>
      </rPr>
      <t>Basic skills exams in reading, writing, and mathematics are required for entrance into a teacher education program in South Carolina, but are not an initial certification requirement.</t>
    </r>
  </si>
  <si>
    <r>
      <t>SOURCE: National Association of State Directors of Teacher Education and Certification (NASDTEC), </t>
    </r>
    <r>
      <rPr>
        <i/>
        <sz val="8"/>
        <color rgb="FF2E2E2E"/>
        <rFont val="Arial"/>
        <family val="2"/>
      </rPr>
      <t>NASDTEC Knowledgebase,</t>
    </r>
    <r>
      <rPr>
        <sz val="8"/>
        <color rgb="FF2E2E2E"/>
        <rFont val="Arial"/>
        <family val="2"/>
      </rPr>
      <t> retrieved May 21, 2018 from </t>
    </r>
    <r>
      <rPr>
        <sz val="8"/>
        <color rgb="FF333333"/>
        <rFont val="Arial"/>
        <family val="2"/>
      </rPr>
      <t>http://www.nasdtec.net</t>
    </r>
    <r>
      <rPr>
        <sz val="8"/>
        <color rgb="FF2E2E2E"/>
        <rFont val="Arial"/>
        <family val="2"/>
      </rPr>
      <t>. </t>
    </r>
    <r>
      <rPr>
        <sz val="8"/>
        <color rgb="FF333333"/>
        <rFont val="Arial"/>
        <family val="2"/>
      </rPr>
      <t>Data Source</t>
    </r>
    <r>
      <rPr>
        <sz val="8"/>
        <color rgb="FF2E2E2E"/>
        <rFont val="Arial"/>
        <family val="2"/>
      </rPr>
      <t>.</t>
    </r>
  </si>
  <si>
    <t>State and Local General Expenditures, Per Capita, FY 2021</t>
  </si>
  <si>
    <t>[Dollars]</t>
  </si>
  <si>
    <t>Direct</t>
  </si>
  <si>
    <t>Elementary</t>
  </si>
  <si>
    <t>Exhibit:</t>
  </si>
  <si>
    <t>Region and State</t>
  </si>
  <si>
    <t>Inter-</t>
  </si>
  <si>
    <t>and Secondary</t>
  </si>
  <si>
    <t>Higher</t>
  </si>
  <si>
    <t>Public</t>
  </si>
  <si>
    <t>Health and</t>
  </si>
  <si>
    <t>All</t>
  </si>
  <si>
    <t>Population [1]</t>
  </si>
  <si>
    <t>data from https://www.taxpolicycenter.org/statistics/state-and-local-general-expenditures-capita</t>
  </si>
  <si>
    <t>Total</t>
  </si>
  <si>
    <t>governmental</t>
  </si>
  <si>
    <t>Education</t>
  </si>
  <si>
    <t>Welfare</t>
  </si>
  <si>
    <t>Hospitals</t>
  </si>
  <si>
    <t>Highways</t>
  </si>
  <si>
    <t>Police</t>
  </si>
  <si>
    <t>Other</t>
  </si>
  <si>
    <t>(Thousands)</t>
  </si>
  <si>
    <t>total</t>
  </si>
  <si>
    <t>elem</t>
  </si>
  <si>
    <t>higher</t>
  </si>
  <si>
    <t xml:space="preserve">United States </t>
  </si>
  <si>
    <t>New England</t>
  </si>
  <si>
    <t>Mideast</t>
  </si>
  <si>
    <t>Great Lakes</t>
  </si>
  <si>
    <t>Plains</t>
  </si>
  <si>
    <t>Southeast</t>
  </si>
  <si>
    <t>Southwest</t>
  </si>
  <si>
    <t>Rocky Mountain</t>
  </si>
  <si>
    <t>Far West [2]</t>
  </si>
  <si>
    <t>[1] Population data are from the midpoint of the observation year.</t>
  </si>
  <si>
    <t>[2] Alaska and Hawaii are excluded from the Far West regional totals, but are included in the U.S. totals.</t>
  </si>
  <si>
    <t>Suggested Citation: US Census Bureau. 2000, updated annually. Annual Survey of State and Local Government Finances, 1977-2020. Compiled by the Urban-Brookings Tax Policy Center. Washington, DC: Urban-Brookings Tax Policy Center (2021). Date of Access: (30-Jun-2023).</t>
  </si>
  <si>
    <r>
      <rPr>
        <b/>
        <sz val="18"/>
        <color rgb="FF16365C"/>
        <rFont val="Arial"/>
        <family val="2"/>
      </rPr>
      <t>State Performance</t>
    </r>
    <r>
      <rPr>
        <sz val="18"/>
        <color rgb="FF16365C"/>
        <rFont val="Arial"/>
        <family val="2"/>
      </rPr>
      <t xml:space="preserve"> Compared to the Nation: Data Table</t>
    </r>
  </si>
  <si>
    <t>JURISDICTION</t>
  </si>
  <si>
    <t>AVERAGE SCORE (0 - 500)</t>
  </si>
  <si>
    <t>ACHIEVEMENT LEVEL PERCENTAGES</t>
  </si>
  <si>
    <t>Score</t>
  </si>
  <si>
    <t>Difference from National public (NP)</t>
  </si>
  <si>
    <r>
      <rPr>
        <sz val="10"/>
        <color rgb="FFFFFFFF"/>
        <rFont val="Arial"/>
        <family val="2"/>
      </rPr>
      <t xml:space="preserve">At or above </t>
    </r>
    <r>
      <rPr>
        <i/>
        <sz val="10"/>
        <color rgb="FFFFFFFF"/>
        <rFont val="Arial"/>
        <family val="2"/>
      </rPr>
      <t>Basic</t>
    </r>
  </si>
  <si>
    <r>
      <rPr>
        <sz val="10"/>
        <color rgb="FFFFFFFF"/>
        <rFont val="Arial"/>
        <family val="2"/>
      </rPr>
      <t xml:space="preserve">At or above </t>
    </r>
    <r>
      <rPr>
        <i/>
        <sz val="10"/>
        <color rgb="FFFFFFFF"/>
        <rFont val="Arial"/>
        <family val="2"/>
      </rPr>
      <t>Proficient</t>
    </r>
  </si>
  <si>
    <t>data from naep</t>
  </si>
  <si>
    <t>DoDEA</t>
  </si>
  <si>
    <t>#</t>
  </si>
  <si>
    <t>National public</t>
  </si>
  <si>
    <t>Puerto Rico</t>
  </si>
  <si>
    <t xml:space="preserve"> </t>
  </si>
  <si>
    <t>Significantly higher than NP</t>
  </si>
  <si>
    <t>Not significantly different from NP</t>
  </si>
  <si>
    <t>Significantly lower than NP</t>
  </si>
  <si>
    <t>NOTE:  DS = Department of Defense Education Activity (DoDEA). DoDEA = Department of Defense Education Activity.  The NAEP Reading scale ranges from 0 to 500. Some apparent differences between estimates may not be statistically significant.</t>
  </si>
  <si>
    <t>SOURCE: U.S. Department of Education, Institute of Education Sciences, National Center for Education Statistics, National Assessment of Educational Progress (NAEP), 2022 Reading Assessment.</t>
  </si>
  <si>
    <t>data fom naep</t>
  </si>
  <si>
    <t># Rounds to zero.</t>
  </si>
  <si>
    <t>NOTE:  DS = Department of Defense Education Activity (DoDEA). DoDEA = Department of Defense Education Activity.  The NAEP Mathematics scale ranges from 0 to 500. Some apparent differences between estimates may not be statistically significant.</t>
  </si>
  <si>
    <t>SOURCE: U.S. Department of Education, Institute of Education Sciences, National Center for Education Statistics, National Assessment of Educational Progress (NAEP), 2022 Mathematics Assessment.</t>
  </si>
  <si>
    <t>state</t>
  </si>
  <si>
    <t>PercentHighSchoolOrHigher</t>
  </si>
  <si>
    <t>PercentBachelorsOrHigher</t>
  </si>
  <si>
    <t>data from https://worldpopulationreview.com/state-rankings/educational-attainment-by-state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</si>
</sst>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quot;.................................................................................&quot;"/>
    <numFmt numFmtId="166" formatCode="#,##0&quot;    &quot;;\-#,##0&quot;    &quot;;\-\-&quot;    &quot;;@&quot;    &quot;"/>
  </numFmts>
  <fonts count="38">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000000"/>
      <name val="Verdana"/>
      <family val="2"/>
    </font>
    <font>
      <vertAlign val="superscript"/>
      <sz val="8"/>
      <color rgb="FF000000"/>
      <name val="Verdana"/>
      <family val="2"/>
    </font>
    <font>
      <sz val="8"/>
      <color rgb="FF2E2E2E"/>
      <name val="Arial"/>
      <family val="2"/>
    </font>
    <font>
      <vertAlign val="superscript"/>
      <sz val="8"/>
      <color rgb="FF2E2E2E"/>
      <name val="Arial"/>
      <family val="2"/>
    </font>
    <font>
      <u/>
      <sz val="8"/>
      <color rgb="FF0000CC"/>
      <name val="Arial"/>
      <family val="2"/>
    </font>
    <font>
      <i/>
      <sz val="8"/>
      <color rgb="FF2E2E2E"/>
      <name val="Arial"/>
      <family val="2"/>
    </font>
    <font>
      <u/>
      <sz val="11"/>
      <color theme="10"/>
      <name val="Calibri"/>
      <family val="2"/>
      <scheme val="minor"/>
    </font>
    <font>
      <b/>
      <sz val="11"/>
      <color rgb="FF000000"/>
      <name val="Arial"/>
      <family val="2"/>
    </font>
    <font>
      <sz val="8"/>
      <color rgb="FF333333"/>
      <name val="Arial"/>
      <family val="2"/>
    </font>
    <font>
      <b/>
      <sz val="9"/>
      <name val="Arial"/>
      <family val="2"/>
    </font>
    <font>
      <sz val="9"/>
      <name val="Arial"/>
      <family val="2"/>
    </font>
    <font>
      <i/>
      <sz val="9"/>
      <name val="Arial"/>
      <family val="2"/>
    </font>
    <font>
      <sz val="10"/>
      <name val="Arial"/>
      <family val="2"/>
    </font>
    <font>
      <sz val="11"/>
      <color rgb="FF9C6500"/>
      <name val="Calibri"/>
      <family val="2"/>
      <scheme val="minor"/>
    </font>
    <font>
      <b/>
      <sz val="18"/>
      <color theme="3"/>
      <name val="Calibri Light"/>
      <family val="2"/>
      <scheme val="major"/>
    </font>
    <font>
      <sz val="10"/>
      <color theme="1"/>
      <name val="Arial"/>
      <family val="2"/>
    </font>
    <font>
      <sz val="10"/>
      <color rgb="FF191919"/>
      <name val="Arial"/>
      <family val="2"/>
    </font>
    <font>
      <sz val="9"/>
      <color rgb="FF333333"/>
      <name val="Arial"/>
      <family val="2"/>
    </font>
    <font>
      <sz val="10"/>
      <color rgb="FFFFFFFF"/>
      <name val="Arial"/>
      <family val="2"/>
    </font>
    <font>
      <sz val="18"/>
      <color rgb="FF16365C"/>
      <name val="Arial"/>
      <family val="2"/>
    </font>
    <font>
      <b/>
      <sz val="18"/>
      <color rgb="FF16365C"/>
      <name val="Arial"/>
      <family val="2"/>
    </font>
    <font>
      <i/>
      <sz val="10"/>
      <color rgb="FFFFFFFF"/>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6DCE4"/>
        <bgColor indexed="64"/>
      </patternFill>
    </fill>
    <fill>
      <patternFill patternType="solid">
        <fgColor rgb="FFC69214"/>
        <bgColor indexed="64"/>
      </patternFill>
    </fill>
    <fill>
      <patternFill patternType="solid">
        <fgColor rgb="FF001970"/>
        <bgColor indexed="64"/>
      </patternFill>
    </fill>
    <fill>
      <patternFill patternType="solid">
        <fgColor rgb="FF899CC1"/>
        <bgColor indexed="64"/>
      </patternFill>
    </fill>
    <fill>
      <patternFill patternType="solid">
        <fgColor rgb="FFBECADC"/>
        <bgColor indexed="64"/>
      </patternFill>
    </fill>
    <fill>
      <patternFill patternType="solid">
        <fgColor rgb="FF00A795"/>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000000"/>
      </bottom>
      <diagonal/>
    </border>
    <border>
      <left/>
      <right/>
      <top style="medium">
        <color rgb="FF000000"/>
      </top>
      <bottom/>
      <diagonal/>
    </border>
    <border>
      <left/>
      <right/>
      <top style="medium">
        <color rgb="FF000000"/>
      </top>
      <bottom style="medium">
        <color rgb="FF000000"/>
      </bottom>
      <diagonal/>
    </border>
    <border>
      <left/>
      <right/>
      <top style="medium">
        <color rgb="FF282828"/>
      </top>
      <bottom/>
      <diagonal/>
    </border>
    <border>
      <left/>
      <right style="thin">
        <color indexed="64"/>
      </right>
      <top style="double">
        <color indexed="64"/>
      </top>
      <bottom/>
      <diagonal/>
    </border>
    <border>
      <left/>
      <right/>
      <top style="double">
        <color indexed="64"/>
      </top>
      <bottom/>
      <diagonal/>
    </border>
    <border>
      <left/>
      <right/>
      <top style="double">
        <color indexed="64"/>
      </top>
      <bottom style="thin">
        <color indexed="64"/>
      </bottom>
      <diagonal/>
    </border>
    <border>
      <left style="thin">
        <color indexed="64"/>
      </left>
      <right/>
      <top style="double">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
      <left style="thin">
        <color rgb="FFCCCCCC"/>
      </left>
      <right/>
      <top/>
      <bottom/>
      <diagonal/>
    </border>
  </borders>
  <cellStyleXfs count="4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2" fillId="0" borderId="0" applyNumberFormat="0" applyFill="0" applyBorder="0" applyAlignment="0" applyProtection="0"/>
    <xf numFmtId="0" fontId="28" fillId="0" borderId="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29" fillId="4" borderId="0" applyNumberFormat="0" applyBorder="0" applyAlignment="0" applyProtection="0"/>
    <xf numFmtId="0" fontId="1" fillId="0" borderId="0"/>
    <xf numFmtId="0" fontId="1" fillId="8" borderId="8" applyNumberFormat="0" applyFont="0" applyAlignment="0" applyProtection="0"/>
    <xf numFmtId="0" fontId="30" fillId="0" borderId="0" applyNumberFormat="0" applyFill="0" applyBorder="0" applyAlignment="0" applyProtection="0"/>
    <xf numFmtId="0" fontId="31" fillId="0" borderId="0"/>
  </cellStyleXfs>
  <cellXfs count="120">
    <xf numFmtId="0" fontId="0" fillId="0" borderId="0" xfId="0"/>
    <xf numFmtId="0" fontId="16" fillId="34" borderId="10" xfId="0" applyFont="1" applyFill="1" applyBorder="1" applyAlignment="1">
      <alignment horizontal="left"/>
    </xf>
    <xf numFmtId="0" fontId="16" fillId="34" borderId="10" xfId="0" applyFont="1" applyFill="1" applyBorder="1" applyAlignment="1">
      <alignment horizontal="right" wrapText="1"/>
    </xf>
    <xf numFmtId="0" fontId="16" fillId="34" borderId="10" xfId="0" applyFont="1" applyFill="1" applyBorder="1" applyAlignment="1">
      <alignment horizontal="left" wrapText="1"/>
    </xf>
    <xf numFmtId="0" fontId="17" fillId="34" borderId="10" xfId="0" applyFont="1" applyFill="1" applyBorder="1" applyAlignment="1">
      <alignment horizontal="left" wrapText="1"/>
    </xf>
    <xf numFmtId="0" fontId="16" fillId="33" borderId="11" xfId="0" applyFont="1" applyFill="1" applyBorder="1" applyAlignment="1">
      <alignment horizontal="center" wrapText="1"/>
    </xf>
    <xf numFmtId="0" fontId="31" fillId="38" borderId="28" xfId="45" applyFill="1" applyBorder="1" applyAlignment="1" applyProtection="1">
      <alignment horizontal="centerContinuous" vertical="center" wrapText="1"/>
      <protection locked="0"/>
    </xf>
    <xf numFmtId="0" fontId="34" fillId="39" borderId="28" xfId="45" applyFont="1" applyFill="1" applyBorder="1" applyAlignment="1" applyProtection="1">
      <alignment horizontal="left" vertical="center" wrapText="1"/>
      <protection locked="0"/>
    </xf>
    <xf numFmtId="0" fontId="34" fillId="39" borderId="28" xfId="45" applyFont="1" applyFill="1" applyBorder="1" applyAlignment="1" applyProtection="1">
      <alignment horizontal="centerContinuous" vertical="center" wrapText="1"/>
      <protection locked="0"/>
    </xf>
    <xf numFmtId="0" fontId="34" fillId="36" borderId="29" xfId="45" applyFont="1" applyFill="1" applyBorder="1" applyAlignment="1" applyProtection="1">
      <alignment horizontal="centerContinuous" vertical="center"/>
      <protection locked="0"/>
    </xf>
    <xf numFmtId="0" fontId="33" fillId="37" borderId="29" xfId="45" applyFont="1" applyFill="1" applyBorder="1" applyAlignment="1" applyProtection="1">
      <alignment horizontal="centerContinuous" vertical="center"/>
      <protection locked="0"/>
    </xf>
    <xf numFmtId="0" fontId="33" fillId="38" borderId="29" xfId="45" applyFont="1" applyFill="1" applyBorder="1" applyAlignment="1" applyProtection="1">
      <alignment horizontal="centerContinuous" vertical="center"/>
      <protection locked="0"/>
    </xf>
    <xf numFmtId="0" fontId="33" fillId="0" borderId="29" xfId="45" applyFont="1" applyBorder="1" applyAlignment="1" applyProtection="1">
      <alignment horizontal="left" vertical="center" wrapText="1"/>
      <protection locked="0"/>
    </xf>
    <xf numFmtId="0" fontId="34" fillId="35" borderId="0" xfId="45" applyFont="1" applyFill="1" applyAlignment="1" applyProtection="1">
      <alignment horizontal="centerContinuous" vertical="center" wrapText="1"/>
      <protection locked="0"/>
    </xf>
    <xf numFmtId="0" fontId="34" fillId="35" borderId="30" xfId="45" applyFont="1" applyFill="1" applyBorder="1" applyAlignment="1" applyProtection="1">
      <alignment horizontal="centerContinuous" vertical="center" wrapText="1"/>
      <protection locked="0"/>
    </xf>
    <xf numFmtId="0" fontId="31" fillId="0" borderId="28" xfId="45" applyBorder="1" applyAlignment="1">
      <alignment horizontal="centerContinuous" vertical="center" wrapText="1"/>
    </xf>
    <xf numFmtId="0" fontId="34" fillId="35" borderId="28" xfId="45" applyFont="1" applyFill="1" applyBorder="1" applyAlignment="1" applyProtection="1">
      <alignment horizontal="centerContinuous" vertical="center" wrapText="1"/>
      <protection locked="0"/>
    </xf>
    <xf numFmtId="0" fontId="31" fillId="0" borderId="28" xfId="45" applyBorder="1" applyAlignment="1">
      <alignment horizontal="left" vertical="center" wrapText="1"/>
    </xf>
    <xf numFmtId="0" fontId="34" fillId="36" borderId="28" xfId="45" applyFont="1" applyFill="1" applyBorder="1" applyAlignment="1" applyProtection="1">
      <alignment horizontal="centerContinuous" vertical="center" wrapText="1"/>
      <protection locked="0"/>
    </xf>
    <xf numFmtId="0" fontId="31" fillId="37" borderId="28" xfId="45" applyFill="1" applyBorder="1" applyAlignment="1" applyProtection="1">
      <alignment horizontal="centerContinuous" vertical="center" wrapText="1"/>
      <protection locked="0"/>
    </xf>
    <xf numFmtId="0" fontId="31" fillId="33" borderId="28" xfId="45" applyFill="1" applyBorder="1" applyAlignment="1" applyProtection="1">
      <alignment horizontal="centerContinuous" vertical="center" wrapText="1"/>
      <protection locked="0"/>
    </xf>
    <xf numFmtId="0" fontId="26" fillId="0" borderId="18" xfId="34" applyFont="1" applyBorder="1" applyAlignment="1">
      <alignment horizontal="center"/>
    </xf>
    <xf numFmtId="0" fontId="26" fillId="0" borderId="24" xfId="34" applyFont="1" applyBorder="1" applyAlignment="1">
      <alignment horizontal="center"/>
    </xf>
    <xf numFmtId="0" fontId="26" fillId="0" borderId="0" xfId="34" applyFont="1"/>
    <xf numFmtId="164" fontId="25" fillId="0" borderId="0" xfId="34" applyNumberFormat="1" applyFont="1" applyAlignment="1">
      <alignment horizontal="left"/>
    </xf>
    <xf numFmtId="0" fontId="25" fillId="0" borderId="0" xfId="34" applyFont="1" applyAlignment="1">
      <alignment horizontal="centerContinuous"/>
    </xf>
    <xf numFmtId="0" fontId="26" fillId="0" borderId="0" xfId="34" applyFont="1" applyAlignment="1">
      <alignment horizontal="centerContinuous"/>
    </xf>
    <xf numFmtId="0" fontId="26" fillId="0" borderId="14" xfId="34" applyFont="1" applyBorder="1"/>
    <xf numFmtId="0" fontId="26" fillId="0" borderId="25" xfId="34" applyFont="1" applyBorder="1"/>
    <xf numFmtId="0" fontId="26" fillId="0" borderId="15" xfId="34" applyFont="1" applyBorder="1" applyAlignment="1">
      <alignment horizontal="centerContinuous"/>
    </xf>
    <xf numFmtId="0" fontId="26" fillId="0" borderId="16" xfId="34" applyFont="1" applyBorder="1" applyAlignment="1">
      <alignment horizontal="centerContinuous"/>
    </xf>
    <xf numFmtId="0" fontId="27" fillId="0" borderId="17" xfId="34" applyFont="1" applyBorder="1"/>
    <xf numFmtId="0" fontId="26" fillId="0" borderId="18" xfId="34" applyFont="1" applyBorder="1"/>
    <xf numFmtId="0" fontId="26" fillId="0" borderId="26" xfId="34" applyFont="1" applyBorder="1" applyAlignment="1">
      <alignment horizontal="center"/>
    </xf>
    <xf numFmtId="0" fontId="26" fillId="0" borderId="27" xfId="34" applyFont="1" applyBorder="1" applyAlignment="1">
      <alignment horizontal="center"/>
    </xf>
    <xf numFmtId="0" fontId="27" fillId="0" borderId="20" xfId="34" applyFont="1" applyBorder="1" applyAlignment="1">
      <alignment horizontal="center"/>
    </xf>
    <xf numFmtId="0" fontId="26" fillId="0" borderId="19" xfId="34" applyFont="1" applyBorder="1" applyAlignment="1">
      <alignment horizontal="center"/>
    </xf>
    <xf numFmtId="0" fontId="26" fillId="0" borderId="20" xfId="34" applyFont="1" applyBorder="1" applyAlignment="1">
      <alignment horizontal="center"/>
    </xf>
    <xf numFmtId="0" fontId="26" fillId="0" borderId="21" xfId="34" applyFont="1" applyBorder="1"/>
    <xf numFmtId="0" fontId="26" fillId="0" borderId="23" xfId="34" applyFont="1" applyBorder="1" applyAlignment="1">
      <alignment horizontal="center"/>
    </xf>
    <xf numFmtId="0" fontId="26" fillId="0" borderId="19" xfId="34" applyFont="1" applyBorder="1"/>
    <xf numFmtId="0" fontId="26" fillId="0" borderId="26" xfId="34" applyFont="1" applyBorder="1"/>
    <xf numFmtId="0" fontId="26" fillId="0" borderId="27" xfId="34" applyFont="1" applyBorder="1"/>
    <xf numFmtId="0" fontId="26" fillId="0" borderId="20" xfId="34" applyFont="1" applyBorder="1"/>
    <xf numFmtId="165" fontId="25" fillId="0" borderId="19" xfId="34" applyNumberFormat="1" applyFont="1" applyBorder="1"/>
    <xf numFmtId="165" fontId="26" fillId="0" borderId="19" xfId="34" applyNumberFormat="1" applyFont="1" applyBorder="1"/>
    <xf numFmtId="165" fontId="26" fillId="0" borderId="0" xfId="34" applyNumberFormat="1" applyFont="1"/>
    <xf numFmtId="166" fontId="26" fillId="0" borderId="0" xfId="34" applyNumberFormat="1" applyFont="1"/>
    <xf numFmtId="165" fontId="25" fillId="0" borderId="0" xfId="34" applyNumberFormat="1" applyFont="1"/>
    <xf numFmtId="165" fontId="26" fillId="0" borderId="0" xfId="34" applyNumberFormat="1" applyFont="1" applyAlignment="1">
      <alignment horizontal="left" indent="1"/>
    </xf>
    <xf numFmtId="165" fontId="26" fillId="0" borderId="22" xfId="34" applyNumberFormat="1" applyFont="1" applyBorder="1" applyAlignment="1">
      <alignment horizontal="left" indent="1"/>
    </xf>
    <xf numFmtId="166" fontId="25" fillId="0" borderId="18" xfId="34" applyNumberFormat="1" applyFont="1" applyBorder="1" applyAlignment="1">
      <alignment horizontal="right"/>
    </xf>
    <xf numFmtId="166" fontId="25" fillId="0" borderId="20" xfId="34" applyNumberFormat="1" applyFont="1" applyBorder="1" applyAlignment="1">
      <alignment horizontal="right"/>
    </xf>
    <xf numFmtId="0" fontId="26" fillId="0" borderId="18" xfId="34" applyFont="1" applyBorder="1" applyAlignment="1">
      <alignment horizontal="right"/>
    </xf>
    <xf numFmtId="166" fontId="26" fillId="0" borderId="18" xfId="34" applyNumberFormat="1" applyFont="1" applyBorder="1" applyAlignment="1">
      <alignment horizontal="right"/>
    </xf>
    <xf numFmtId="166" fontId="26" fillId="0" borderId="20" xfId="34" applyNumberFormat="1" applyFont="1" applyBorder="1" applyAlignment="1">
      <alignment horizontal="right"/>
    </xf>
    <xf numFmtId="166" fontId="26" fillId="0" borderId="24" xfId="34" applyNumberFormat="1" applyFont="1" applyBorder="1" applyAlignment="1">
      <alignment horizontal="right"/>
    </xf>
    <xf numFmtId="166" fontId="26" fillId="0" borderId="23" xfId="34" applyNumberFormat="1" applyFont="1" applyBorder="1" applyAlignment="1">
      <alignment horizontal="right"/>
    </xf>
    <xf numFmtId="0" fontId="16" fillId="34" borderId="0" xfId="0" applyFont="1" applyFill="1" applyAlignment="1">
      <alignment horizontal="left" wrapText="1"/>
    </xf>
    <xf numFmtId="0" fontId="16" fillId="34" borderId="0" xfId="0" applyFont="1" applyFill="1" applyAlignment="1">
      <alignment horizontal="right" wrapText="1"/>
    </xf>
    <xf numFmtId="0" fontId="16" fillId="33" borderId="0" xfId="0" applyFont="1" applyFill="1" applyAlignment="1">
      <alignment horizontal="left" wrapText="1"/>
    </xf>
    <xf numFmtId="0" fontId="16" fillId="33" borderId="0" xfId="0" applyFont="1" applyFill="1" applyAlignment="1">
      <alignment horizontal="right" wrapText="1"/>
    </xf>
    <xf numFmtId="0" fontId="16" fillId="33" borderId="10" xfId="0" applyFont="1" applyFill="1" applyBorder="1" applyAlignment="1">
      <alignment horizontal="left" wrapText="1"/>
    </xf>
    <xf numFmtId="0" fontId="16" fillId="33" borderId="11" xfId="0" applyFont="1" applyFill="1" applyBorder="1" applyAlignment="1">
      <alignment horizontal="left"/>
    </xf>
    <xf numFmtId="0" fontId="16" fillId="33" borderId="0" xfId="0" applyFont="1" applyFill="1" applyAlignment="1">
      <alignment horizontal="left"/>
    </xf>
    <xf numFmtId="0" fontId="16" fillId="33" borderId="11" xfId="0" applyFont="1" applyFill="1" applyBorder="1" applyAlignment="1">
      <alignment horizontal="right" wrapText="1"/>
    </xf>
    <xf numFmtId="0" fontId="17" fillId="33" borderId="0" xfId="0" applyFont="1" applyFill="1" applyAlignment="1">
      <alignment horizontal="left" wrapText="1"/>
    </xf>
    <xf numFmtId="3" fontId="16" fillId="33" borderId="0" xfId="0" applyNumberFormat="1" applyFont="1" applyFill="1" applyAlignment="1">
      <alignment horizontal="right" wrapText="1"/>
    </xf>
    <xf numFmtId="0" fontId="16" fillId="33" borderId="0" xfId="0" applyFont="1" applyFill="1" applyAlignment="1">
      <alignment horizontal="center" wrapText="1"/>
    </xf>
    <xf numFmtId="0" fontId="16" fillId="33" borderId="0" xfId="0" applyFont="1" applyFill="1" applyAlignment="1">
      <alignment horizontal="right"/>
    </xf>
    <xf numFmtId="0" fontId="16" fillId="33" borderId="10" xfId="0" applyFont="1" applyFill="1" applyBorder="1" applyAlignment="1">
      <alignment horizontal="right"/>
    </xf>
    <xf numFmtId="0" fontId="16" fillId="34" borderId="0" xfId="0" applyFont="1" applyFill="1" applyAlignment="1">
      <alignment horizontal="left"/>
    </xf>
    <xf numFmtId="0" fontId="17" fillId="34" borderId="0" xfId="0" applyFont="1" applyFill="1" applyAlignment="1">
      <alignment horizontal="left" wrapText="1"/>
    </xf>
    <xf numFmtId="3" fontId="16" fillId="34" borderId="0" xfId="0" applyNumberFormat="1" applyFont="1" applyFill="1" applyAlignment="1">
      <alignment horizontal="right" wrapText="1"/>
    </xf>
    <xf numFmtId="0" fontId="16" fillId="33" borderId="10" xfId="0" applyFont="1" applyFill="1" applyBorder="1" applyAlignment="1">
      <alignment horizontal="right" wrapText="1"/>
    </xf>
    <xf numFmtId="0" fontId="31" fillId="0" borderId="0" xfId="45"/>
    <xf numFmtId="166" fontId="0" fillId="0" borderId="0" xfId="0" applyNumberFormat="1"/>
    <xf numFmtId="0" fontId="26" fillId="0" borderId="0" xfId="34" applyFont="1" applyFill="1" applyBorder="1" applyAlignment="1">
      <alignment horizontal="center"/>
    </xf>
    <xf numFmtId="0" fontId="18" fillId="33" borderId="0" xfId="0" applyFont="1" applyFill="1" applyAlignment="1">
      <alignment horizontal="left" vertical="top" wrapText="1"/>
    </xf>
    <xf numFmtId="0" fontId="19" fillId="33" borderId="0" xfId="0" applyFont="1" applyFill="1" applyAlignment="1">
      <alignment horizontal="left" vertical="top" wrapText="1"/>
    </xf>
    <xf numFmtId="0" fontId="18" fillId="33" borderId="0" xfId="0" applyFont="1" applyFill="1" applyAlignment="1">
      <alignment horizontal="left" wrapText="1"/>
    </xf>
    <xf numFmtId="0" fontId="22" fillId="33" borderId="0" xfId="33" applyFill="1" applyAlignment="1">
      <alignment horizontal="left" vertical="top" wrapText="1"/>
    </xf>
    <xf numFmtId="0" fontId="16" fillId="33" borderId="0" xfId="0" applyFont="1" applyFill="1" applyAlignment="1">
      <alignment horizontal="left"/>
    </xf>
    <xf numFmtId="0" fontId="16" fillId="33" borderId="10" xfId="0" applyFont="1" applyFill="1" applyBorder="1" applyAlignment="1">
      <alignment horizontal="left"/>
    </xf>
    <xf numFmtId="0" fontId="16" fillId="33" borderId="0" xfId="0" applyFont="1" applyFill="1" applyAlignment="1">
      <alignment horizontal="left" wrapText="1"/>
    </xf>
    <xf numFmtId="0" fontId="16" fillId="33" borderId="10" xfId="0" applyFont="1" applyFill="1" applyBorder="1" applyAlignment="1">
      <alignment horizontal="left" wrapText="1"/>
    </xf>
    <xf numFmtId="0" fontId="16" fillId="33" borderId="0" xfId="0" applyFont="1" applyFill="1" applyAlignment="1">
      <alignment horizontal="right" wrapText="1"/>
    </xf>
    <xf numFmtId="0" fontId="16" fillId="33" borderId="10" xfId="0" applyFont="1" applyFill="1" applyBorder="1" applyAlignment="1">
      <alignment horizontal="right" wrapText="1"/>
    </xf>
    <xf numFmtId="0" fontId="16" fillId="34" borderId="0" xfId="0" applyFont="1" applyFill="1" applyAlignment="1">
      <alignment horizontal="left"/>
    </xf>
    <xf numFmtId="0" fontId="16" fillId="34" borderId="0" xfId="0" applyFont="1" applyFill="1" applyAlignment="1">
      <alignment horizontal="left" wrapText="1"/>
    </xf>
    <xf numFmtId="0" fontId="16" fillId="34" borderId="0" xfId="0" applyFont="1" applyFill="1" applyAlignment="1">
      <alignment horizontal="right" wrapText="1"/>
    </xf>
    <xf numFmtId="0" fontId="17" fillId="33" borderId="0" xfId="0" applyFont="1" applyFill="1" applyAlignment="1">
      <alignment horizontal="left" wrapText="1"/>
    </xf>
    <xf numFmtId="0" fontId="17" fillId="34" borderId="0" xfId="0" applyFont="1" applyFill="1" applyAlignment="1">
      <alignment horizontal="left" wrapText="1"/>
    </xf>
    <xf numFmtId="3" fontId="16" fillId="34" borderId="0" xfId="0" applyNumberFormat="1" applyFont="1" applyFill="1" applyAlignment="1">
      <alignment horizontal="right" wrapText="1"/>
    </xf>
    <xf numFmtId="3" fontId="16" fillId="33" borderId="0" xfId="0" applyNumberFormat="1" applyFont="1" applyFill="1" applyAlignment="1">
      <alignment horizontal="right" wrapText="1"/>
    </xf>
    <xf numFmtId="0" fontId="16" fillId="33" borderId="11" xfId="0" applyFont="1" applyFill="1" applyBorder="1" applyAlignment="1">
      <alignment horizontal="left"/>
    </xf>
    <xf numFmtId="0" fontId="16" fillId="33" borderId="11" xfId="0" applyFont="1" applyFill="1" applyBorder="1" applyAlignment="1">
      <alignment horizontal="left" wrapText="1"/>
    </xf>
    <xf numFmtId="0" fontId="16" fillId="33" borderId="11" xfId="0" applyFont="1" applyFill="1" applyBorder="1" applyAlignment="1">
      <alignment horizontal="right" wrapText="1"/>
    </xf>
    <xf numFmtId="0" fontId="17" fillId="33" borderId="11" xfId="0" applyFont="1" applyFill="1" applyBorder="1" applyAlignment="1">
      <alignment horizontal="left" wrapText="1"/>
    </xf>
    <xf numFmtId="3" fontId="16" fillId="33" borderId="11" xfId="0" applyNumberFormat="1" applyFont="1" applyFill="1" applyBorder="1" applyAlignment="1">
      <alignment horizontal="right" wrapText="1"/>
    </xf>
    <xf numFmtId="0" fontId="16" fillId="33" borderId="0" xfId="0" applyFont="1" applyFill="1" applyAlignment="1">
      <alignment horizontal="center" wrapText="1"/>
    </xf>
    <xf numFmtId="0" fontId="16" fillId="33" borderId="10" xfId="0" applyFont="1" applyFill="1" applyBorder="1" applyAlignment="1">
      <alignment horizontal="center" wrapText="1"/>
    </xf>
    <xf numFmtId="0" fontId="16" fillId="33" borderId="0" xfId="0" applyFont="1" applyFill="1" applyAlignment="1">
      <alignment horizontal="right"/>
    </xf>
    <xf numFmtId="0" fontId="16" fillId="33" borderId="10" xfId="0" applyFont="1" applyFill="1" applyBorder="1" applyAlignment="1">
      <alignment horizontal="right"/>
    </xf>
    <xf numFmtId="0" fontId="19" fillId="33" borderId="0" xfId="0" applyFont="1" applyFill="1" applyAlignment="1">
      <alignment wrapText="1"/>
    </xf>
    <xf numFmtId="0" fontId="18" fillId="33" borderId="0" xfId="0" applyFont="1" applyFill="1" applyAlignment="1">
      <alignment wrapText="1"/>
    </xf>
    <xf numFmtId="0" fontId="19" fillId="33" borderId="0" xfId="0" applyFont="1" applyFill="1" applyAlignment="1">
      <alignment horizontal="left" wrapText="1"/>
    </xf>
    <xf numFmtId="0" fontId="18" fillId="33" borderId="11" xfId="0" applyFont="1" applyFill="1" applyBorder="1" applyAlignment="1">
      <alignment horizontal="left" wrapText="1"/>
    </xf>
    <xf numFmtId="0" fontId="22" fillId="33" borderId="0" xfId="33" applyFill="1" applyAlignment="1">
      <alignment horizontal="left" wrapText="1"/>
    </xf>
    <xf numFmtId="0" fontId="19" fillId="33" borderId="0" xfId="0" applyFont="1" applyFill="1" applyAlignment="1">
      <alignment vertical="center" wrapText="1"/>
    </xf>
    <xf numFmtId="0" fontId="18" fillId="33" borderId="0" xfId="0" applyFont="1" applyFill="1" applyAlignment="1">
      <alignment vertical="center" wrapText="1"/>
    </xf>
    <xf numFmtId="0" fontId="23" fillId="0" borderId="0" xfId="0" applyFont="1" applyAlignment="1">
      <alignment horizontal="center" vertical="top" wrapText="1"/>
    </xf>
    <xf numFmtId="0" fontId="18" fillId="33" borderId="13" xfId="0" applyFont="1" applyFill="1" applyBorder="1" applyAlignment="1">
      <alignment wrapText="1"/>
    </xf>
    <xf numFmtId="0" fontId="16" fillId="33" borderId="12" xfId="0" applyFont="1" applyFill="1" applyBorder="1" applyAlignment="1">
      <alignment horizontal="center" wrapText="1"/>
    </xf>
    <xf numFmtId="0" fontId="26" fillId="0" borderId="0" xfId="34" applyFont="1" applyAlignment="1">
      <alignment wrapText="1"/>
    </xf>
    <xf numFmtId="0" fontId="28" fillId="0" borderId="0" xfId="34" applyAlignment="1">
      <alignment wrapText="1"/>
    </xf>
    <xf numFmtId="0" fontId="32" fillId="33" borderId="0" xfId="45" applyFont="1" applyFill="1" applyAlignment="1" applyProtection="1">
      <alignment horizontal="left" vertical="center" wrapText="1"/>
      <protection locked="0"/>
    </xf>
    <xf numFmtId="0" fontId="34" fillId="35" borderId="28" xfId="45" applyFont="1" applyFill="1" applyBorder="1" applyAlignment="1" applyProtection="1">
      <alignment horizontal="center" vertical="center" wrapText="1"/>
      <protection locked="0"/>
    </xf>
    <xf numFmtId="0" fontId="35" fillId="0" borderId="0" xfId="45" applyFont="1" applyAlignment="1" applyProtection="1">
      <protection locked="0"/>
    </xf>
    <xf numFmtId="0" fontId="31" fillId="0" borderId="0" xfId="45" applyAlignment="1"/>
  </cellXfs>
  <cellStyles count="46">
    <cellStyle name="20% - Accent1" xfId="16" builtinId="30" customBuiltin="1"/>
    <cellStyle name="20% - Accent2" xfId="19" builtinId="34" customBuiltin="1"/>
    <cellStyle name="20% - Accent3" xfId="22" builtinId="38" customBuiltin="1"/>
    <cellStyle name="20% - Accent4" xfId="25" builtinId="42" customBuiltin="1"/>
    <cellStyle name="20% - Accent5" xfId="28" builtinId="46" customBuiltin="1"/>
    <cellStyle name="20% - Accent6" xfId="31" builtinId="50" customBuiltin="1"/>
    <cellStyle name="40% - Accent1" xfId="17" builtinId="31" customBuiltin="1"/>
    <cellStyle name="40% - Accent2" xfId="20" builtinId="35" customBuiltin="1"/>
    <cellStyle name="40% - Accent3" xfId="23" builtinId="39" customBuiltin="1"/>
    <cellStyle name="40% - Accent4" xfId="26" builtinId="43" customBuiltin="1"/>
    <cellStyle name="40% - Accent5" xfId="29" builtinId="47" customBuiltin="1"/>
    <cellStyle name="40% - Accent6" xfId="32" builtinId="51" customBuiltin="1"/>
    <cellStyle name="60% - Accent1 2" xfId="35" xr:uid="{A52FDF5A-948E-4292-A43B-02C1C8F10F11}"/>
    <cellStyle name="60% - Accent2 2" xfId="36" xr:uid="{FBDAF98A-A620-4015-8F42-9B1FF3EABC76}"/>
    <cellStyle name="60% - Accent3 2" xfId="37" xr:uid="{6B85F722-4ACE-41AA-8464-D88E3F04BA9D}"/>
    <cellStyle name="60% - Accent4 2" xfId="38" xr:uid="{71B3590E-838F-450C-A609-2233EBA29767}"/>
    <cellStyle name="60% - Accent5 2" xfId="39" xr:uid="{3E6C8437-D1D3-4FF3-954F-21A73EFB343C}"/>
    <cellStyle name="60% - Accent6 2" xfId="40" xr:uid="{0E950911-8F33-4A3D-A1F3-F1AD263330B9}"/>
    <cellStyle name="Accent1" xfId="15" builtinId="29" customBuiltin="1"/>
    <cellStyle name="Accent2" xfId="18" builtinId="33" customBuiltin="1"/>
    <cellStyle name="Accent3" xfId="21" builtinId="37" customBuiltin="1"/>
    <cellStyle name="Accent4" xfId="24" builtinId="41" customBuiltin="1"/>
    <cellStyle name="Accent5" xfId="27" builtinId="45" customBuiltin="1"/>
    <cellStyle name="Accent6" xfId="30" builtinId="49" customBuiltin="1"/>
    <cellStyle name="Bad" xfId="6" builtinId="27" customBuiltin="1"/>
    <cellStyle name="Calculation" xfId="9" builtinId="22" customBuiltin="1"/>
    <cellStyle name="Check Cell" xfId="11" builtinId="23" customBuiltin="1"/>
    <cellStyle name="Explanatory Text" xfId="13"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Hyperlink" xfId="33" builtinId="8"/>
    <cellStyle name="Input" xfId="7" builtinId="20" customBuiltin="1"/>
    <cellStyle name="Linked Cell" xfId="10" builtinId="24" customBuiltin="1"/>
    <cellStyle name="Neutral 2" xfId="41" xr:uid="{A903AC50-97E3-430E-9C77-2BD37A271A51}"/>
    <cellStyle name="Normal" xfId="0" builtinId="0"/>
    <cellStyle name="Normal 2" xfId="42" xr:uid="{AE72E952-CE72-49D3-9822-AAFBC9A6A189}"/>
    <cellStyle name="Normal 3" xfId="34" xr:uid="{7553AF6A-5453-4E58-A52B-2FA5791AC1CA}"/>
    <cellStyle name="Normal 4" xfId="45" xr:uid="{3F600974-A142-4918-86EC-D4B138245C05}"/>
    <cellStyle name="Note 2" xfId="43" xr:uid="{FC5BD2DC-98A4-4D2E-828B-8A1692D41C90}"/>
    <cellStyle name="Output" xfId="8" builtinId="21" customBuiltin="1"/>
    <cellStyle name="Title 2" xfId="44" xr:uid="{336D3086-A291-488C-BD6B-A8AB40C843F2}"/>
    <cellStyle name="Total" xfId="14"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nces.ed.gov/transfer.asp?sec=true&amp;location=www.cde.ca.gov/fg/aa/pa/lcffitfaq.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ces.ed.gov/transfer.asp?location=education.ne.gov/EducatorPrep/IHE/SkillsTesting/ContentTestScor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9F67-4DA2-4C74-B225-EC0E7778065E}">
  <dimension ref="A1:H52"/>
  <sheetViews>
    <sheetView tabSelected="1" workbookViewId="0">
      <selection activeCell="H6" sqref="H6"/>
    </sheetView>
  </sheetViews>
  <sheetFormatPr defaultRowHeight="15"/>
  <cols>
    <col min="2" max="2" width="11" customWidth="1"/>
    <col min="3" max="3" width="13.85546875" customWidth="1"/>
    <col min="4" max="4" width="12.28515625" customWidth="1"/>
  </cols>
  <sheetData>
    <row r="1" spans="1:8">
      <c r="A1" t="s">
        <v>0</v>
      </c>
      <c r="B1" t="s">
        <v>1</v>
      </c>
      <c r="C1" t="s">
        <v>2</v>
      </c>
      <c r="D1" t="s">
        <v>3</v>
      </c>
      <c r="G1" t="s">
        <v>4</v>
      </c>
    </row>
    <row r="2" spans="1:8">
      <c r="A2">
        <v>1</v>
      </c>
      <c r="B2" t="s">
        <v>5</v>
      </c>
      <c r="C2">
        <v>0.875</v>
      </c>
      <c r="D2">
        <v>4.0000000000000001E-3</v>
      </c>
      <c r="G2" t="s">
        <v>6</v>
      </c>
    </row>
    <row r="3" spans="1:8">
      <c r="A3">
        <v>2</v>
      </c>
      <c r="B3" t="s">
        <v>7</v>
      </c>
      <c r="C3">
        <v>1.014</v>
      </c>
      <c r="D3">
        <v>1.2E-2</v>
      </c>
    </row>
    <row r="4" spans="1:8">
      <c r="A4">
        <v>4</v>
      </c>
      <c r="B4" t="s">
        <v>8</v>
      </c>
      <c r="C4">
        <v>0.95299999999999996</v>
      </c>
      <c r="D4">
        <v>3.0000000000000001E-3</v>
      </c>
      <c r="G4" t="s">
        <v>9</v>
      </c>
      <c r="H4">
        <f>MAX(C2:C52)</f>
        <v>1.2849999999999999</v>
      </c>
    </row>
    <row r="5" spans="1:8">
      <c r="A5">
        <v>5</v>
      </c>
      <c r="B5" t="s">
        <v>10</v>
      </c>
      <c r="C5">
        <v>0.89300000000000002</v>
      </c>
      <c r="D5">
        <v>6.0000000000000001E-3</v>
      </c>
      <c r="G5" t="s">
        <v>11</v>
      </c>
      <c r="H5">
        <f>MIN(C2:C52)</f>
        <v>0.80400000000000005</v>
      </c>
    </row>
    <row r="6" spans="1:8">
      <c r="A6">
        <v>6</v>
      </c>
      <c r="B6" t="s">
        <v>12</v>
      </c>
      <c r="C6">
        <v>1.173</v>
      </c>
      <c r="D6">
        <v>2E-3</v>
      </c>
    </row>
    <row r="7" spans="1:8">
      <c r="A7">
        <v>8</v>
      </c>
      <c r="B7" t="s">
        <v>13</v>
      </c>
      <c r="C7">
        <v>0.97799999999999998</v>
      </c>
      <c r="D7">
        <v>3.0000000000000001E-3</v>
      </c>
    </row>
    <row r="8" spans="1:8">
      <c r="A8">
        <v>9</v>
      </c>
      <c r="B8" t="s">
        <v>14</v>
      </c>
      <c r="C8">
        <v>1.0720000000000001</v>
      </c>
      <c r="D8">
        <v>5.0000000000000001E-3</v>
      </c>
    </row>
    <row r="9" spans="1:8">
      <c r="A9">
        <v>10</v>
      </c>
      <c r="B9" t="s">
        <v>15</v>
      </c>
      <c r="C9">
        <v>1</v>
      </c>
      <c r="D9">
        <v>8.0000000000000002E-3</v>
      </c>
    </row>
    <row r="10" spans="1:8">
      <c r="A10">
        <v>11</v>
      </c>
      <c r="B10" t="s">
        <v>16</v>
      </c>
      <c r="C10">
        <v>1.2849999999999999</v>
      </c>
      <c r="D10">
        <v>6.0000000000000001E-3</v>
      </c>
    </row>
    <row r="11" spans="1:8">
      <c r="A11">
        <v>12</v>
      </c>
      <c r="B11" t="s">
        <v>17</v>
      </c>
      <c r="C11">
        <v>0.89800000000000002</v>
      </c>
      <c r="D11">
        <v>2E-3</v>
      </c>
    </row>
    <row r="12" spans="1:8">
      <c r="A12">
        <v>13</v>
      </c>
      <c r="B12" t="s">
        <v>18</v>
      </c>
      <c r="C12">
        <v>0.97</v>
      </c>
      <c r="D12">
        <v>3.0000000000000001E-3</v>
      </c>
    </row>
    <row r="13" spans="1:8">
      <c r="A13">
        <v>15</v>
      </c>
      <c r="B13" t="s">
        <v>19</v>
      </c>
      <c r="C13">
        <v>1.0249999999999999</v>
      </c>
      <c r="D13">
        <v>8.0000000000000002E-3</v>
      </c>
    </row>
    <row r="14" spans="1:8">
      <c r="A14">
        <v>16</v>
      </c>
      <c r="B14" t="s">
        <v>20</v>
      </c>
      <c r="C14">
        <v>0.85299999999999998</v>
      </c>
      <c r="D14">
        <v>7.0000000000000001E-3</v>
      </c>
    </row>
    <row r="15" spans="1:8">
      <c r="A15">
        <v>17</v>
      </c>
      <c r="B15" t="s">
        <v>21</v>
      </c>
      <c r="C15">
        <v>1.02</v>
      </c>
      <c r="D15">
        <v>2E-3</v>
      </c>
    </row>
    <row r="16" spans="1:8">
      <c r="A16">
        <v>18</v>
      </c>
      <c r="B16" t="s">
        <v>22</v>
      </c>
      <c r="C16">
        <v>0.879</v>
      </c>
      <c r="D16">
        <v>4.0000000000000001E-3</v>
      </c>
    </row>
    <row r="17" spans="1:4">
      <c r="A17">
        <v>19</v>
      </c>
      <c r="B17" t="s">
        <v>23</v>
      </c>
      <c r="C17">
        <v>0.88800000000000001</v>
      </c>
      <c r="D17">
        <v>4.0000000000000001E-3</v>
      </c>
    </row>
    <row r="18" spans="1:4">
      <c r="A18">
        <v>20</v>
      </c>
      <c r="B18" t="s">
        <v>24</v>
      </c>
      <c r="C18">
        <v>0.86499999999999999</v>
      </c>
      <c r="D18">
        <v>4.0000000000000001E-3</v>
      </c>
    </row>
    <row r="19" spans="1:4">
      <c r="A19">
        <v>21</v>
      </c>
      <c r="B19" t="s">
        <v>25</v>
      </c>
      <c r="C19">
        <v>0.85699999999999998</v>
      </c>
      <c r="D19">
        <v>4.0000000000000001E-3</v>
      </c>
    </row>
    <row r="20" spans="1:4">
      <c r="A20">
        <v>22</v>
      </c>
      <c r="B20" t="s">
        <v>26</v>
      </c>
      <c r="C20">
        <v>0.89700000000000002</v>
      </c>
      <c r="D20">
        <v>5.0000000000000001E-3</v>
      </c>
    </row>
    <row r="21" spans="1:4">
      <c r="A21">
        <v>23</v>
      </c>
      <c r="B21" t="s">
        <v>27</v>
      </c>
      <c r="C21">
        <v>0.86899999999999999</v>
      </c>
      <c r="D21">
        <v>6.0000000000000001E-3</v>
      </c>
    </row>
    <row r="22" spans="1:4">
      <c r="A22">
        <v>24</v>
      </c>
      <c r="B22" t="s">
        <v>28</v>
      </c>
      <c r="C22">
        <v>1.0760000000000001</v>
      </c>
      <c r="D22">
        <v>4.0000000000000001E-3</v>
      </c>
    </row>
    <row r="23" spans="1:4">
      <c r="A23">
        <v>25</v>
      </c>
      <c r="B23" t="s">
        <v>29</v>
      </c>
      <c r="C23">
        <v>1.099</v>
      </c>
      <c r="D23">
        <v>3.0000000000000001E-3</v>
      </c>
    </row>
    <row r="24" spans="1:4">
      <c r="A24">
        <v>26</v>
      </c>
      <c r="B24" t="s">
        <v>30</v>
      </c>
      <c r="C24">
        <v>0.91800000000000004</v>
      </c>
      <c r="D24">
        <v>3.0000000000000001E-3</v>
      </c>
    </row>
    <row r="25" spans="1:4">
      <c r="A25">
        <v>27</v>
      </c>
      <c r="B25" t="s">
        <v>31</v>
      </c>
      <c r="C25">
        <v>1.0089999999999999</v>
      </c>
      <c r="D25">
        <v>3.0000000000000001E-3</v>
      </c>
    </row>
    <row r="26" spans="1:4">
      <c r="A26">
        <v>28</v>
      </c>
      <c r="B26" t="s">
        <v>32</v>
      </c>
      <c r="C26">
        <v>0.84199999999999997</v>
      </c>
      <c r="D26">
        <v>6.0000000000000001E-3</v>
      </c>
    </row>
    <row r="27" spans="1:4">
      <c r="A27">
        <v>29</v>
      </c>
      <c r="B27" t="s">
        <v>33</v>
      </c>
      <c r="C27">
        <v>0.89600000000000002</v>
      </c>
      <c r="D27">
        <v>3.0000000000000001E-3</v>
      </c>
    </row>
    <row r="28" spans="1:4">
      <c r="A28">
        <v>30</v>
      </c>
      <c r="B28" t="s">
        <v>34</v>
      </c>
      <c r="C28">
        <v>0.81399999999999995</v>
      </c>
      <c r="D28">
        <v>8.0000000000000002E-3</v>
      </c>
    </row>
    <row r="29" spans="1:4">
      <c r="A29">
        <v>31</v>
      </c>
      <c r="B29" t="s">
        <v>35</v>
      </c>
      <c r="C29">
        <v>0.86799999999999999</v>
      </c>
      <c r="D29">
        <v>4.0000000000000001E-3</v>
      </c>
    </row>
    <row r="30" spans="1:4">
      <c r="A30">
        <v>32</v>
      </c>
      <c r="B30" t="s">
        <v>36</v>
      </c>
      <c r="C30">
        <v>0.98099999999999998</v>
      </c>
      <c r="D30">
        <v>7.0000000000000001E-3</v>
      </c>
    </row>
    <row r="31" spans="1:4">
      <c r="A31">
        <v>33</v>
      </c>
      <c r="B31" t="s">
        <v>37</v>
      </c>
      <c r="C31">
        <v>0.95799999999999996</v>
      </c>
      <c r="D31">
        <v>6.0000000000000001E-3</v>
      </c>
    </row>
    <row r="32" spans="1:4">
      <c r="A32">
        <v>34</v>
      </c>
      <c r="B32" t="s">
        <v>38</v>
      </c>
      <c r="C32">
        <v>1.087</v>
      </c>
      <c r="D32">
        <v>4.0000000000000001E-3</v>
      </c>
    </row>
    <row r="33" spans="1:4">
      <c r="A33">
        <v>35</v>
      </c>
      <c r="B33" t="s">
        <v>39</v>
      </c>
      <c r="C33">
        <v>0.90200000000000002</v>
      </c>
      <c r="D33">
        <v>7.0000000000000001E-3</v>
      </c>
    </row>
    <row r="34" spans="1:4">
      <c r="A34">
        <v>36</v>
      </c>
      <c r="B34" t="s">
        <v>40</v>
      </c>
      <c r="C34">
        <v>1.149</v>
      </c>
      <c r="D34">
        <v>2E-3</v>
      </c>
    </row>
    <row r="35" spans="1:4">
      <c r="A35">
        <v>37</v>
      </c>
      <c r="B35" t="s">
        <v>41</v>
      </c>
      <c r="C35">
        <v>0.93</v>
      </c>
      <c r="D35">
        <v>3.0000000000000001E-3</v>
      </c>
    </row>
    <row r="36" spans="1:4">
      <c r="A36">
        <v>38</v>
      </c>
      <c r="B36" t="s">
        <v>42</v>
      </c>
      <c r="C36">
        <v>0.89200000000000002</v>
      </c>
      <c r="D36">
        <v>8.9999999999999993E-3</v>
      </c>
    </row>
    <row r="37" spans="1:4">
      <c r="A37">
        <v>39</v>
      </c>
      <c r="B37" t="s">
        <v>43</v>
      </c>
      <c r="C37">
        <v>0.90900000000000003</v>
      </c>
      <c r="D37">
        <v>2E-3</v>
      </c>
    </row>
    <row r="38" spans="1:4">
      <c r="A38">
        <v>40</v>
      </c>
      <c r="B38" t="s">
        <v>44</v>
      </c>
      <c r="C38">
        <v>0.87</v>
      </c>
      <c r="D38">
        <v>4.0000000000000001E-3</v>
      </c>
    </row>
    <row r="39" spans="1:4">
      <c r="A39">
        <v>41</v>
      </c>
      <c r="B39" t="s">
        <v>45</v>
      </c>
      <c r="C39">
        <v>0.98599999999999999</v>
      </c>
      <c r="D39">
        <v>4.0000000000000001E-3</v>
      </c>
    </row>
    <row r="40" spans="1:4">
      <c r="A40">
        <v>42</v>
      </c>
      <c r="B40" t="s">
        <v>46</v>
      </c>
      <c r="C40">
        <v>0.94699999999999995</v>
      </c>
      <c r="D40">
        <v>3.0000000000000001E-3</v>
      </c>
    </row>
    <row r="41" spans="1:4">
      <c r="A41">
        <v>44</v>
      </c>
      <c r="B41" t="s">
        <v>47</v>
      </c>
      <c r="C41">
        <v>0.99399999999999999</v>
      </c>
      <c r="D41">
        <v>8.0000000000000002E-3</v>
      </c>
    </row>
    <row r="42" spans="1:4">
      <c r="A42">
        <v>45</v>
      </c>
      <c r="B42" t="s">
        <v>48</v>
      </c>
      <c r="C42">
        <v>0.88</v>
      </c>
      <c r="D42">
        <v>4.0000000000000001E-3</v>
      </c>
    </row>
    <row r="43" spans="1:4">
      <c r="A43">
        <v>46</v>
      </c>
      <c r="B43" t="s">
        <v>49</v>
      </c>
      <c r="C43">
        <v>0.83199999999999996</v>
      </c>
      <c r="D43">
        <v>8.0000000000000002E-3</v>
      </c>
    </row>
    <row r="44" spans="1:4">
      <c r="A44">
        <v>47</v>
      </c>
      <c r="B44" t="s">
        <v>50</v>
      </c>
      <c r="C44">
        <v>0.9</v>
      </c>
      <c r="D44">
        <v>3.0000000000000001E-3</v>
      </c>
    </row>
    <row r="45" spans="1:4">
      <c r="A45">
        <v>48</v>
      </c>
      <c r="B45" t="s">
        <v>51</v>
      </c>
      <c r="C45">
        <v>0.98799999999999999</v>
      </c>
      <c r="D45">
        <v>2E-3</v>
      </c>
    </row>
    <row r="46" spans="1:4">
      <c r="A46">
        <v>49</v>
      </c>
      <c r="B46" t="s">
        <v>52</v>
      </c>
      <c r="C46">
        <v>0.91100000000000003</v>
      </c>
      <c r="D46">
        <v>4.0000000000000001E-3</v>
      </c>
    </row>
    <row r="47" spans="1:4">
      <c r="A47">
        <v>50</v>
      </c>
      <c r="B47" t="s">
        <v>53</v>
      </c>
      <c r="C47">
        <v>0.88700000000000001</v>
      </c>
      <c r="D47">
        <v>8.9999999999999993E-3</v>
      </c>
    </row>
    <row r="48" spans="1:4">
      <c r="A48">
        <v>51</v>
      </c>
      <c r="B48" t="s">
        <v>54</v>
      </c>
      <c r="C48">
        <v>1.0329999999999999</v>
      </c>
      <c r="D48">
        <v>2E-3</v>
      </c>
    </row>
    <row r="49" spans="1:4">
      <c r="A49">
        <v>53</v>
      </c>
      <c r="B49" t="s">
        <v>55</v>
      </c>
      <c r="C49">
        <v>1.1000000000000001</v>
      </c>
      <c r="D49">
        <v>4.0000000000000001E-3</v>
      </c>
    </row>
    <row r="50" spans="1:4">
      <c r="A50">
        <v>54</v>
      </c>
      <c r="B50" t="s">
        <v>56</v>
      </c>
      <c r="C50">
        <v>0.80400000000000005</v>
      </c>
      <c r="D50">
        <v>6.0000000000000001E-3</v>
      </c>
    </row>
    <row r="51" spans="1:4">
      <c r="A51">
        <v>55</v>
      </c>
      <c r="B51" t="s">
        <v>57</v>
      </c>
      <c r="C51">
        <v>0.91100000000000003</v>
      </c>
      <c r="D51">
        <v>3.0000000000000001E-3</v>
      </c>
    </row>
    <row r="52" spans="1:4">
      <c r="A52">
        <v>56</v>
      </c>
      <c r="B52" t="s">
        <v>58</v>
      </c>
      <c r="C52">
        <v>0.84799999999999998</v>
      </c>
      <c r="D52">
        <v>1.0999999999999999E-2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961F-32FE-4EDB-B1BE-712B78A26AD5}">
  <dimension ref="A1:G69"/>
  <sheetViews>
    <sheetView topLeftCell="A46" workbookViewId="0">
      <selection activeCell="B68" sqref="B68:C69"/>
    </sheetView>
  </sheetViews>
  <sheetFormatPr defaultRowHeight="15"/>
  <cols>
    <col min="1" max="1" width="13.85546875" customWidth="1"/>
    <col min="2" max="2" width="35" customWidth="1"/>
    <col min="3" max="3" width="52" customWidth="1"/>
    <col min="4" max="4" width="80.5703125" customWidth="1"/>
    <col min="5" max="5" width="45.85546875" customWidth="1"/>
    <col min="6" max="6" width="35.28515625" customWidth="1"/>
    <col min="7" max="7" width="28.5703125" customWidth="1"/>
  </cols>
  <sheetData>
    <row r="1" spans="1:7">
      <c r="A1" t="s">
        <v>59</v>
      </c>
    </row>
    <row r="3" spans="1:7">
      <c r="A3" t="s">
        <v>60</v>
      </c>
    </row>
    <row r="5" spans="1:7">
      <c r="A5" t="s">
        <v>61</v>
      </c>
    </row>
    <row r="7" spans="1:7">
      <c r="A7" t="s">
        <v>62</v>
      </c>
      <c r="B7" t="s">
        <v>63</v>
      </c>
      <c r="C7" t="s">
        <v>64</v>
      </c>
      <c r="D7" t="s">
        <v>65</v>
      </c>
      <c r="E7" t="s">
        <v>66</v>
      </c>
      <c r="F7" t="s">
        <v>67</v>
      </c>
      <c r="G7" t="s">
        <v>68</v>
      </c>
    </row>
    <row r="8" spans="1:7">
      <c r="A8" t="s">
        <v>69</v>
      </c>
      <c r="B8">
        <v>17.350000000000001</v>
      </c>
      <c r="C8">
        <v>42335.96</v>
      </c>
      <c r="D8">
        <v>734559</v>
      </c>
      <c r="E8">
        <v>1559</v>
      </c>
      <c r="F8">
        <v>67</v>
      </c>
      <c r="G8" t="s">
        <v>70</v>
      </c>
    </row>
    <row r="9" spans="1:7">
      <c r="A9" t="s">
        <v>71</v>
      </c>
      <c r="B9">
        <v>17.18</v>
      </c>
      <c r="C9">
        <v>7558.21</v>
      </c>
      <c r="D9">
        <v>129872</v>
      </c>
      <c r="E9">
        <v>509</v>
      </c>
      <c r="F9">
        <v>29</v>
      </c>
      <c r="G9" t="s">
        <v>72</v>
      </c>
    </row>
    <row r="10" spans="1:7">
      <c r="A10" t="s">
        <v>73</v>
      </c>
      <c r="B10">
        <v>22.43</v>
      </c>
      <c r="C10">
        <v>49546.93</v>
      </c>
      <c r="D10">
        <v>1111500</v>
      </c>
      <c r="E10">
        <v>2480</v>
      </c>
      <c r="F10">
        <v>15</v>
      </c>
      <c r="G10" t="s">
        <v>74</v>
      </c>
    </row>
    <row r="11" spans="1:7">
      <c r="A11" t="s">
        <v>75</v>
      </c>
      <c r="B11">
        <v>12.62</v>
      </c>
      <c r="C11">
        <v>38542.660000000003</v>
      </c>
      <c r="D11">
        <v>486305</v>
      </c>
      <c r="E11">
        <v>1080</v>
      </c>
      <c r="F11">
        <v>75</v>
      </c>
      <c r="G11" t="s">
        <v>76</v>
      </c>
    </row>
    <row r="12" spans="1:7">
      <c r="A12" t="s">
        <v>77</v>
      </c>
      <c r="B12">
        <v>22.47</v>
      </c>
      <c r="C12">
        <v>269850.03000000003</v>
      </c>
      <c r="D12">
        <v>6064504</v>
      </c>
      <c r="E12">
        <v>10330</v>
      </c>
      <c r="F12">
        <v>58</v>
      </c>
      <c r="G12" t="s">
        <v>78</v>
      </c>
    </row>
    <row r="13" spans="1:7">
      <c r="A13" t="s">
        <v>79</v>
      </c>
      <c r="B13">
        <v>16.260000000000002</v>
      </c>
      <c r="C13">
        <v>54318.97</v>
      </c>
      <c r="D13">
        <v>883199</v>
      </c>
      <c r="E13">
        <v>1927</v>
      </c>
      <c r="F13">
        <v>63</v>
      </c>
      <c r="G13" t="s">
        <v>80</v>
      </c>
    </row>
    <row r="14" spans="1:7">
      <c r="A14" t="s">
        <v>81</v>
      </c>
      <c r="B14">
        <v>11.96</v>
      </c>
      <c r="C14">
        <v>42580.2</v>
      </c>
      <c r="D14">
        <v>509058</v>
      </c>
      <c r="E14">
        <v>1001</v>
      </c>
      <c r="F14">
        <v>8</v>
      </c>
      <c r="G14" t="s">
        <v>82</v>
      </c>
    </row>
    <row r="15" spans="1:7">
      <c r="A15" t="s">
        <v>83</v>
      </c>
      <c r="B15">
        <v>14.02</v>
      </c>
      <c r="C15">
        <v>9849.93</v>
      </c>
      <c r="D15">
        <v>138092</v>
      </c>
      <c r="E15">
        <v>230</v>
      </c>
      <c r="F15">
        <v>3</v>
      </c>
      <c r="G15" t="s">
        <v>84</v>
      </c>
    </row>
    <row r="16" spans="1:7">
      <c r="A16" t="s">
        <v>85</v>
      </c>
      <c r="B16">
        <v>11.71</v>
      </c>
      <c r="C16">
        <v>7678.3</v>
      </c>
      <c r="D16">
        <v>89883</v>
      </c>
      <c r="E16">
        <v>235</v>
      </c>
      <c r="F16">
        <v>2</v>
      </c>
      <c r="G16" t="s">
        <v>86</v>
      </c>
    </row>
    <row r="17" spans="1:7">
      <c r="A17" t="s">
        <v>87</v>
      </c>
      <c r="B17">
        <v>17.3</v>
      </c>
      <c r="C17">
        <v>161413.31</v>
      </c>
      <c r="D17">
        <v>2791707</v>
      </c>
      <c r="E17">
        <v>4267</v>
      </c>
      <c r="F17">
        <v>67</v>
      </c>
      <c r="G17" t="s">
        <v>88</v>
      </c>
    </row>
    <row r="18" spans="1:7">
      <c r="A18" t="s">
        <v>89</v>
      </c>
      <c r="B18">
        <v>14.65</v>
      </c>
      <c r="C18">
        <v>118059.1</v>
      </c>
      <c r="D18">
        <v>1730015</v>
      </c>
      <c r="E18">
        <v>2311</v>
      </c>
      <c r="F18">
        <v>159</v>
      </c>
      <c r="G18" t="s">
        <v>90</v>
      </c>
    </row>
    <row r="19" spans="1:7">
      <c r="A19" t="s">
        <v>91</v>
      </c>
      <c r="B19">
        <v>14.53</v>
      </c>
      <c r="C19">
        <v>12145.4</v>
      </c>
      <c r="D19">
        <v>176441</v>
      </c>
      <c r="E19">
        <v>295</v>
      </c>
      <c r="F19">
        <v>1</v>
      </c>
      <c r="G19" t="s">
        <v>92</v>
      </c>
    </row>
    <row r="20" spans="1:7">
      <c r="A20" t="s">
        <v>93</v>
      </c>
      <c r="B20">
        <v>17.489999999999998</v>
      </c>
      <c r="C20">
        <v>17582.259999999998</v>
      </c>
      <c r="D20">
        <v>307581</v>
      </c>
      <c r="E20">
        <v>791</v>
      </c>
      <c r="F20">
        <v>44</v>
      </c>
      <c r="G20" t="s">
        <v>94</v>
      </c>
    </row>
    <row r="21" spans="1:7">
      <c r="A21" t="s">
        <v>95</v>
      </c>
      <c r="B21" t="s">
        <v>96</v>
      </c>
      <c r="C21" t="s">
        <v>96</v>
      </c>
      <c r="D21">
        <v>1886137</v>
      </c>
      <c r="E21">
        <v>4384</v>
      </c>
      <c r="F21">
        <v>102</v>
      </c>
      <c r="G21" t="s">
        <v>97</v>
      </c>
    </row>
    <row r="22" spans="1:7">
      <c r="A22" t="s">
        <v>98</v>
      </c>
      <c r="B22">
        <v>15.72</v>
      </c>
      <c r="C22">
        <v>65758.31</v>
      </c>
      <c r="D22">
        <v>1033964</v>
      </c>
      <c r="E22">
        <v>1902</v>
      </c>
      <c r="F22">
        <v>92</v>
      </c>
      <c r="G22" t="s">
        <v>99</v>
      </c>
    </row>
    <row r="23" spans="1:7">
      <c r="A23" t="s">
        <v>100</v>
      </c>
      <c r="B23">
        <v>14.05</v>
      </c>
      <c r="C23">
        <v>36048.379999999997</v>
      </c>
      <c r="D23">
        <v>506656</v>
      </c>
      <c r="E23">
        <v>1309</v>
      </c>
      <c r="F23">
        <v>99</v>
      </c>
      <c r="G23" t="s">
        <v>101</v>
      </c>
    </row>
    <row r="24" spans="1:7">
      <c r="A24" t="s">
        <v>102</v>
      </c>
      <c r="B24">
        <v>12.68</v>
      </c>
      <c r="C24">
        <v>38007.33</v>
      </c>
      <c r="D24">
        <v>481750</v>
      </c>
      <c r="E24">
        <v>1310</v>
      </c>
      <c r="F24">
        <v>105</v>
      </c>
      <c r="G24" t="s">
        <v>103</v>
      </c>
    </row>
    <row r="25" spans="1:7">
      <c r="A25" t="s">
        <v>104</v>
      </c>
      <c r="B25">
        <v>15.52</v>
      </c>
      <c r="C25">
        <v>42458.13</v>
      </c>
      <c r="D25">
        <v>658809</v>
      </c>
      <c r="E25">
        <v>1532</v>
      </c>
      <c r="F25">
        <v>120</v>
      </c>
      <c r="G25" t="s">
        <v>105</v>
      </c>
    </row>
    <row r="26" spans="1:7">
      <c r="A26" t="s">
        <v>106</v>
      </c>
      <c r="B26">
        <v>18.07</v>
      </c>
      <c r="C26">
        <v>38368.879999999997</v>
      </c>
      <c r="D26">
        <v>693150</v>
      </c>
      <c r="E26">
        <v>1354</v>
      </c>
      <c r="F26">
        <v>65</v>
      </c>
      <c r="G26" t="s">
        <v>107</v>
      </c>
    </row>
    <row r="27" spans="1:7">
      <c r="A27" t="s">
        <v>108</v>
      </c>
      <c r="B27">
        <v>11.39</v>
      </c>
      <c r="C27">
        <v>15142.94</v>
      </c>
      <c r="D27">
        <v>172455</v>
      </c>
      <c r="E27">
        <v>602</v>
      </c>
      <c r="F27">
        <v>16</v>
      </c>
      <c r="G27" t="s">
        <v>109</v>
      </c>
    </row>
    <row r="28" spans="1:7">
      <c r="A28" t="s">
        <v>110</v>
      </c>
      <c r="B28">
        <v>14.17</v>
      </c>
      <c r="C28">
        <v>62276.32</v>
      </c>
      <c r="D28">
        <v>882527</v>
      </c>
      <c r="E28">
        <v>1421</v>
      </c>
      <c r="F28">
        <v>24</v>
      </c>
      <c r="G28" t="s">
        <v>111</v>
      </c>
    </row>
    <row r="29" spans="1:7">
      <c r="A29" t="s">
        <v>112</v>
      </c>
      <c r="B29">
        <v>12.27</v>
      </c>
      <c r="C29">
        <v>75146.720000000001</v>
      </c>
      <c r="D29">
        <v>921712</v>
      </c>
      <c r="E29">
        <v>1845</v>
      </c>
      <c r="F29">
        <v>14</v>
      </c>
      <c r="G29" t="s">
        <v>113</v>
      </c>
    </row>
    <row r="30" spans="1:7">
      <c r="A30" t="s">
        <v>114</v>
      </c>
      <c r="B30">
        <v>17.010000000000002</v>
      </c>
      <c r="C30">
        <v>84317.37</v>
      </c>
      <c r="D30">
        <v>1434137</v>
      </c>
      <c r="E30">
        <v>3553</v>
      </c>
      <c r="F30">
        <v>83</v>
      </c>
      <c r="G30" t="s">
        <v>115</v>
      </c>
    </row>
    <row r="31" spans="1:7">
      <c r="A31" t="s">
        <v>116</v>
      </c>
      <c r="B31">
        <v>15.99</v>
      </c>
      <c r="C31">
        <v>54535.32</v>
      </c>
      <c r="D31">
        <v>872083</v>
      </c>
      <c r="E31">
        <v>2542</v>
      </c>
      <c r="F31">
        <v>87</v>
      </c>
      <c r="G31" t="s">
        <v>117</v>
      </c>
    </row>
    <row r="32" spans="1:7">
      <c r="A32" t="s">
        <v>118</v>
      </c>
      <c r="B32">
        <v>14.06</v>
      </c>
      <c r="C32">
        <v>31479.63</v>
      </c>
      <c r="D32">
        <v>442627</v>
      </c>
      <c r="E32">
        <v>1042</v>
      </c>
      <c r="F32">
        <v>81</v>
      </c>
      <c r="G32" t="s">
        <v>119</v>
      </c>
    </row>
    <row r="33" spans="1:7">
      <c r="A33" t="s">
        <v>120</v>
      </c>
      <c r="B33">
        <v>12.8</v>
      </c>
      <c r="C33">
        <v>68923.839999999997</v>
      </c>
      <c r="D33">
        <v>882477</v>
      </c>
      <c r="E33">
        <v>2460</v>
      </c>
      <c r="F33">
        <v>115</v>
      </c>
      <c r="G33" t="s">
        <v>121</v>
      </c>
    </row>
    <row r="34" spans="1:7">
      <c r="A34" t="s">
        <v>122</v>
      </c>
      <c r="B34">
        <v>13.37</v>
      </c>
      <c r="C34">
        <v>10941.68</v>
      </c>
      <c r="D34">
        <v>146252</v>
      </c>
      <c r="E34">
        <v>829</v>
      </c>
      <c r="F34">
        <v>56</v>
      </c>
      <c r="G34" t="s">
        <v>123</v>
      </c>
    </row>
    <row r="35" spans="1:7">
      <c r="A35" t="s">
        <v>124</v>
      </c>
      <c r="B35">
        <v>13.56</v>
      </c>
      <c r="C35">
        <v>23943.47</v>
      </c>
      <c r="D35">
        <v>324697</v>
      </c>
      <c r="E35">
        <v>1086</v>
      </c>
      <c r="F35">
        <v>93</v>
      </c>
      <c r="G35" t="s">
        <v>125</v>
      </c>
    </row>
    <row r="36" spans="1:7">
      <c r="A36" t="s">
        <v>126</v>
      </c>
      <c r="B36">
        <v>20.309999999999999</v>
      </c>
      <c r="C36">
        <v>23746</v>
      </c>
      <c r="D36">
        <v>482348</v>
      </c>
      <c r="E36">
        <v>754</v>
      </c>
      <c r="F36">
        <v>17</v>
      </c>
      <c r="G36" t="s">
        <v>127</v>
      </c>
    </row>
    <row r="37" spans="1:7">
      <c r="A37" t="s">
        <v>128</v>
      </c>
      <c r="B37">
        <v>11.42</v>
      </c>
      <c r="C37">
        <v>14799.9</v>
      </c>
      <c r="D37">
        <v>169027</v>
      </c>
      <c r="E37">
        <v>496</v>
      </c>
      <c r="F37">
        <v>10</v>
      </c>
      <c r="G37" t="s">
        <v>129</v>
      </c>
    </row>
    <row r="38" spans="1:7">
      <c r="A38" t="s">
        <v>130</v>
      </c>
      <c r="B38">
        <v>11.79</v>
      </c>
      <c r="C38">
        <v>116530.03</v>
      </c>
      <c r="D38">
        <v>1373960</v>
      </c>
      <c r="E38">
        <v>2566</v>
      </c>
      <c r="F38">
        <v>21</v>
      </c>
      <c r="G38" t="s">
        <v>131</v>
      </c>
    </row>
    <row r="39" spans="1:7">
      <c r="A39" t="s">
        <v>132</v>
      </c>
      <c r="B39">
        <v>14.68</v>
      </c>
      <c r="C39">
        <v>21576.65</v>
      </c>
      <c r="D39">
        <v>316840</v>
      </c>
      <c r="E39">
        <v>886</v>
      </c>
      <c r="F39">
        <v>33</v>
      </c>
      <c r="G39" t="s">
        <v>133</v>
      </c>
    </row>
    <row r="40" spans="1:7">
      <c r="A40" t="s">
        <v>134</v>
      </c>
      <c r="B40">
        <v>12.21</v>
      </c>
      <c r="C40">
        <v>213537.44</v>
      </c>
      <c r="D40">
        <v>2606748</v>
      </c>
      <c r="E40">
        <v>4831</v>
      </c>
      <c r="F40">
        <v>62</v>
      </c>
      <c r="G40" t="s">
        <v>135</v>
      </c>
    </row>
    <row r="41" spans="1:7">
      <c r="A41" t="s">
        <v>136</v>
      </c>
      <c r="B41">
        <v>14.98</v>
      </c>
      <c r="C41">
        <v>101057.02</v>
      </c>
      <c r="D41">
        <v>1513677</v>
      </c>
      <c r="E41">
        <v>2730</v>
      </c>
      <c r="F41">
        <v>100</v>
      </c>
      <c r="G41" t="s">
        <v>137</v>
      </c>
    </row>
    <row r="42" spans="1:7">
      <c r="A42" t="s">
        <v>138</v>
      </c>
      <c r="B42">
        <v>12.14</v>
      </c>
      <c r="C42">
        <v>9472.82</v>
      </c>
      <c r="D42">
        <v>114955</v>
      </c>
      <c r="E42">
        <v>531</v>
      </c>
      <c r="F42">
        <v>54</v>
      </c>
      <c r="G42" t="s">
        <v>139</v>
      </c>
    </row>
    <row r="43" spans="1:7">
      <c r="A43" t="s">
        <v>140</v>
      </c>
      <c r="B43">
        <v>16.27</v>
      </c>
      <c r="C43">
        <v>101147.65</v>
      </c>
      <c r="D43">
        <v>1645412</v>
      </c>
      <c r="E43">
        <v>3532</v>
      </c>
      <c r="F43">
        <v>88</v>
      </c>
      <c r="G43" t="s">
        <v>141</v>
      </c>
    </row>
    <row r="44" spans="1:7">
      <c r="A44" t="s">
        <v>142</v>
      </c>
      <c r="B44">
        <v>16.100000000000001</v>
      </c>
      <c r="C44">
        <v>43110.11</v>
      </c>
      <c r="D44">
        <v>694113</v>
      </c>
      <c r="E44">
        <v>1790</v>
      </c>
      <c r="F44">
        <v>77</v>
      </c>
      <c r="G44" t="s">
        <v>143</v>
      </c>
    </row>
    <row r="45" spans="1:7">
      <c r="A45" t="s">
        <v>144</v>
      </c>
      <c r="B45">
        <v>18.22</v>
      </c>
      <c r="C45">
        <v>30785.93</v>
      </c>
      <c r="D45">
        <v>560917</v>
      </c>
      <c r="E45">
        <v>1263</v>
      </c>
      <c r="F45">
        <v>36</v>
      </c>
      <c r="G45" t="s">
        <v>145</v>
      </c>
    </row>
    <row r="46" spans="1:7">
      <c r="A46" t="s">
        <v>146</v>
      </c>
      <c r="B46">
        <v>13.63</v>
      </c>
      <c r="C46">
        <v>125028.25</v>
      </c>
      <c r="D46">
        <v>1704396</v>
      </c>
      <c r="E46">
        <v>2952</v>
      </c>
      <c r="F46">
        <v>67</v>
      </c>
      <c r="G46" t="s">
        <v>147</v>
      </c>
    </row>
    <row r="47" spans="1:7">
      <c r="A47" t="s">
        <v>148</v>
      </c>
      <c r="B47">
        <v>13.05</v>
      </c>
      <c r="C47">
        <v>10669.04</v>
      </c>
      <c r="D47">
        <v>139184</v>
      </c>
      <c r="E47">
        <v>314</v>
      </c>
      <c r="F47">
        <v>5</v>
      </c>
      <c r="G47" t="s">
        <v>149</v>
      </c>
    </row>
    <row r="48" spans="1:7">
      <c r="A48" t="s">
        <v>150</v>
      </c>
      <c r="B48">
        <v>14.28</v>
      </c>
      <c r="C48">
        <v>53702.97</v>
      </c>
      <c r="D48">
        <v>766819</v>
      </c>
      <c r="E48">
        <v>1280</v>
      </c>
      <c r="F48">
        <v>46</v>
      </c>
      <c r="G48" t="s">
        <v>151</v>
      </c>
    </row>
    <row r="49" spans="1:7">
      <c r="A49" t="s">
        <v>152</v>
      </c>
      <c r="B49">
        <v>13.93</v>
      </c>
      <c r="C49">
        <v>10020.18</v>
      </c>
      <c r="D49">
        <v>139566</v>
      </c>
      <c r="E49">
        <v>722</v>
      </c>
      <c r="F49">
        <v>65</v>
      </c>
      <c r="G49" t="s">
        <v>153</v>
      </c>
    </row>
    <row r="50" spans="1:7">
      <c r="A50" t="s">
        <v>154</v>
      </c>
      <c r="B50">
        <v>15.24</v>
      </c>
      <c r="C50">
        <v>64667.05</v>
      </c>
      <c r="D50">
        <v>985207</v>
      </c>
      <c r="E50">
        <v>1880</v>
      </c>
      <c r="F50">
        <v>95</v>
      </c>
      <c r="G50" t="s">
        <v>155</v>
      </c>
    </row>
    <row r="51" spans="1:7">
      <c r="A51" t="s">
        <v>156</v>
      </c>
      <c r="B51">
        <v>14.49</v>
      </c>
      <c r="C51">
        <v>370718.5</v>
      </c>
      <c r="D51">
        <v>5372806</v>
      </c>
      <c r="E51">
        <v>9467</v>
      </c>
      <c r="F51">
        <v>253</v>
      </c>
      <c r="G51" t="s">
        <v>157</v>
      </c>
    </row>
    <row r="52" spans="1:7">
      <c r="A52" t="s">
        <v>158</v>
      </c>
      <c r="B52" t="s">
        <v>96</v>
      </c>
      <c r="C52" t="s">
        <v>96</v>
      </c>
      <c r="D52">
        <v>680659</v>
      </c>
      <c r="E52">
        <v>1113</v>
      </c>
      <c r="F52">
        <v>29</v>
      </c>
      <c r="G52" t="s">
        <v>159</v>
      </c>
    </row>
    <row r="53" spans="1:7">
      <c r="A53" t="s">
        <v>160</v>
      </c>
      <c r="B53">
        <v>10.31</v>
      </c>
      <c r="C53">
        <v>7989.43</v>
      </c>
      <c r="D53">
        <v>82401</v>
      </c>
      <c r="E53">
        <v>305</v>
      </c>
      <c r="F53">
        <v>15</v>
      </c>
      <c r="G53" t="s">
        <v>161</v>
      </c>
    </row>
    <row r="54" spans="1:7">
      <c r="A54" t="s">
        <v>162</v>
      </c>
      <c r="B54">
        <v>14.38</v>
      </c>
      <c r="C54">
        <v>87049.37</v>
      </c>
      <c r="D54">
        <v>1251639</v>
      </c>
      <c r="E54">
        <v>2130</v>
      </c>
      <c r="F54">
        <v>130</v>
      </c>
      <c r="G54" t="s">
        <v>163</v>
      </c>
    </row>
    <row r="55" spans="1:7">
      <c r="A55" t="s">
        <v>164</v>
      </c>
      <c r="B55">
        <v>17.59</v>
      </c>
      <c r="C55">
        <v>61810.07</v>
      </c>
      <c r="D55">
        <v>1087354</v>
      </c>
      <c r="E55">
        <v>2507</v>
      </c>
      <c r="F55">
        <v>39</v>
      </c>
      <c r="G55" t="s">
        <v>165</v>
      </c>
    </row>
    <row r="56" spans="1:7">
      <c r="A56" t="s">
        <v>166</v>
      </c>
      <c r="B56">
        <v>13.63</v>
      </c>
      <c r="C56">
        <v>18629.990000000002</v>
      </c>
      <c r="D56">
        <v>253930</v>
      </c>
      <c r="E56">
        <v>711</v>
      </c>
      <c r="F56">
        <v>55</v>
      </c>
      <c r="G56" t="s">
        <v>167</v>
      </c>
    </row>
    <row r="57" spans="1:7">
      <c r="A57" t="s">
        <v>168</v>
      </c>
      <c r="B57">
        <v>13.81</v>
      </c>
      <c r="C57">
        <v>60091.66</v>
      </c>
      <c r="D57">
        <v>830066</v>
      </c>
      <c r="E57">
        <v>2258</v>
      </c>
      <c r="F57">
        <v>73</v>
      </c>
      <c r="G57" t="s">
        <v>169</v>
      </c>
    </row>
    <row r="58" spans="1:7">
      <c r="A58" t="s">
        <v>170</v>
      </c>
      <c r="B58">
        <v>12.33</v>
      </c>
      <c r="C58">
        <v>7521.73</v>
      </c>
      <c r="D58">
        <v>92772</v>
      </c>
      <c r="E58">
        <v>364</v>
      </c>
      <c r="F58">
        <v>24</v>
      </c>
      <c r="G58" t="s">
        <v>171</v>
      </c>
    </row>
    <row r="61" spans="1:7">
      <c r="A61" t="s">
        <v>172</v>
      </c>
    </row>
    <row r="63" spans="1:7">
      <c r="A63" t="s">
        <v>173</v>
      </c>
    </row>
    <row r="64" spans="1:7">
      <c r="A64" t="s">
        <v>174</v>
      </c>
    </row>
    <row r="65" spans="1:3">
      <c r="A65" t="s">
        <v>175</v>
      </c>
    </row>
    <row r="67" spans="1:3">
      <c r="B67" t="s">
        <v>176</v>
      </c>
      <c r="C67" t="s">
        <v>177</v>
      </c>
    </row>
    <row r="68" spans="1:3">
      <c r="A68" t="s">
        <v>9</v>
      </c>
      <c r="B68">
        <f>MAX(B8:B58)</f>
        <v>22.47</v>
      </c>
      <c r="C68">
        <f>MAX(C8:C58)</f>
        <v>370718.5</v>
      </c>
    </row>
    <row r="69" spans="1:3">
      <c r="A69" t="s">
        <v>11</v>
      </c>
      <c r="B69">
        <f>MIN(B8:B58)</f>
        <v>10.31</v>
      </c>
      <c r="C69">
        <f>MIN(C8:C58)</f>
        <v>7521.73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8B75-CC32-4899-8DBD-D579249C902F}">
  <dimension ref="A1:L174"/>
  <sheetViews>
    <sheetView topLeftCell="F1" workbookViewId="0">
      <selection activeCell="L5" sqref="L5"/>
    </sheetView>
  </sheetViews>
  <sheetFormatPr defaultRowHeight="15"/>
  <cols>
    <col min="1" max="1" width="14.7109375" customWidth="1"/>
    <col min="3" max="3" width="17.85546875" customWidth="1"/>
    <col min="5" max="5" width="25.85546875" customWidth="1"/>
    <col min="7" max="7" width="38.42578125" customWidth="1"/>
    <col min="9" max="9" width="30.28515625" customWidth="1"/>
  </cols>
  <sheetData>
    <row r="1" spans="1:12" ht="21" customHeight="1">
      <c r="A1" s="84" t="s">
        <v>178</v>
      </c>
      <c r="B1" s="84"/>
      <c r="C1" s="100" t="s">
        <v>179</v>
      </c>
      <c r="D1" s="100"/>
      <c r="E1" s="100"/>
      <c r="F1" s="84"/>
      <c r="G1" s="102" t="s">
        <v>180</v>
      </c>
      <c r="H1" s="84"/>
      <c r="I1" s="69" t="s">
        <v>181</v>
      </c>
      <c r="J1" s="86"/>
    </row>
    <row r="2" spans="1:12" ht="15.75" thickBot="1">
      <c r="A2" s="84"/>
      <c r="B2" s="84"/>
      <c r="C2" s="101" t="s">
        <v>182</v>
      </c>
      <c r="D2" s="101"/>
      <c r="E2" s="101"/>
      <c r="F2" s="84"/>
      <c r="G2" s="102"/>
      <c r="H2" s="84"/>
      <c r="I2" s="69" t="s">
        <v>183</v>
      </c>
      <c r="J2" s="86"/>
    </row>
    <row r="3" spans="1:12" ht="15.75" thickBot="1">
      <c r="A3" s="85"/>
      <c r="B3" s="85"/>
      <c r="C3" s="74" t="s">
        <v>184</v>
      </c>
      <c r="D3" s="62"/>
      <c r="E3" s="74" t="s">
        <v>185</v>
      </c>
      <c r="F3" s="85"/>
      <c r="G3" s="103"/>
      <c r="H3" s="85"/>
      <c r="I3" s="70"/>
      <c r="J3" s="86"/>
    </row>
    <row r="4" spans="1:12">
      <c r="A4" s="95" t="s">
        <v>5</v>
      </c>
      <c r="B4" s="96"/>
      <c r="C4" s="97">
        <v>180</v>
      </c>
      <c r="D4" s="98">
        <v>1</v>
      </c>
      <c r="E4" s="99">
        <v>1080</v>
      </c>
      <c r="F4" s="98">
        <v>1</v>
      </c>
      <c r="G4" s="61" t="s">
        <v>186</v>
      </c>
      <c r="H4" s="96"/>
      <c r="I4" s="97" t="s">
        <v>187</v>
      </c>
      <c r="J4" s="86"/>
    </row>
    <row r="5" spans="1:12">
      <c r="A5" s="82"/>
      <c r="B5" s="84"/>
      <c r="C5" s="86"/>
      <c r="D5" s="91"/>
      <c r="E5" s="94"/>
      <c r="F5" s="91"/>
      <c r="G5" s="61" t="s">
        <v>188</v>
      </c>
      <c r="H5" s="84"/>
      <c r="I5" s="86"/>
      <c r="J5" s="86"/>
      <c r="L5" t="s">
        <v>189</v>
      </c>
    </row>
    <row r="6" spans="1:12">
      <c r="A6" s="88" t="s">
        <v>7</v>
      </c>
      <c r="B6" s="89"/>
      <c r="C6" s="90">
        <v>180</v>
      </c>
      <c r="D6" s="92" t="s">
        <v>190</v>
      </c>
      <c r="E6" s="59" t="s">
        <v>191</v>
      </c>
      <c r="F6" s="92">
        <v>1</v>
      </c>
      <c r="G6" s="59" t="s">
        <v>192</v>
      </c>
      <c r="H6" s="89"/>
      <c r="I6" s="90" t="s">
        <v>187</v>
      </c>
      <c r="J6" s="90"/>
    </row>
    <row r="7" spans="1:12">
      <c r="A7" s="88"/>
      <c r="B7" s="89"/>
      <c r="C7" s="90"/>
      <c r="D7" s="92"/>
      <c r="E7" s="59" t="s">
        <v>193</v>
      </c>
      <c r="F7" s="92"/>
      <c r="G7" s="59" t="s">
        <v>194</v>
      </c>
      <c r="H7" s="89"/>
      <c r="I7" s="90"/>
      <c r="J7" s="90"/>
    </row>
    <row r="8" spans="1:12">
      <c r="A8" s="88"/>
      <c r="B8" s="89"/>
      <c r="C8" s="90"/>
      <c r="D8" s="92"/>
      <c r="E8" s="59"/>
      <c r="F8" s="92"/>
      <c r="G8" s="59" t="s">
        <v>195</v>
      </c>
      <c r="H8" s="89"/>
      <c r="I8" s="90"/>
      <c r="J8" s="90"/>
    </row>
    <row r="9" spans="1:12">
      <c r="A9" s="82" t="s">
        <v>8</v>
      </c>
      <c r="B9" s="84"/>
      <c r="C9" s="86">
        <v>180</v>
      </c>
      <c r="D9" s="91">
        <v>1</v>
      </c>
      <c r="E9" s="61" t="s">
        <v>196</v>
      </c>
      <c r="F9" s="91">
        <v>1</v>
      </c>
      <c r="G9" s="86" t="s">
        <v>197</v>
      </c>
      <c r="H9" s="84"/>
      <c r="I9" s="86" t="s">
        <v>197</v>
      </c>
      <c r="J9" s="86"/>
    </row>
    <row r="10" spans="1:12">
      <c r="A10" s="82"/>
      <c r="B10" s="84"/>
      <c r="C10" s="86"/>
      <c r="D10" s="91"/>
      <c r="E10" s="61" t="s">
        <v>198</v>
      </c>
      <c r="F10" s="91"/>
      <c r="G10" s="86"/>
      <c r="H10" s="84"/>
      <c r="I10" s="86"/>
      <c r="J10" s="86"/>
    </row>
    <row r="11" spans="1:12">
      <c r="A11" s="82"/>
      <c r="B11" s="84"/>
      <c r="C11" s="86"/>
      <c r="D11" s="91"/>
      <c r="E11" s="61" t="s">
        <v>199</v>
      </c>
      <c r="F11" s="91"/>
      <c r="G11" s="86"/>
      <c r="H11" s="84"/>
      <c r="I11" s="86"/>
      <c r="J11" s="86"/>
    </row>
    <row r="12" spans="1:12">
      <c r="A12" s="82"/>
      <c r="B12" s="84"/>
      <c r="C12" s="86"/>
      <c r="D12" s="91"/>
      <c r="E12" s="61" t="s">
        <v>200</v>
      </c>
      <c r="F12" s="91"/>
      <c r="G12" s="86"/>
      <c r="H12" s="84"/>
      <c r="I12" s="86"/>
      <c r="J12" s="86"/>
    </row>
    <row r="13" spans="1:12">
      <c r="A13" s="88" t="s">
        <v>10</v>
      </c>
      <c r="B13" s="89"/>
      <c r="C13" s="90" t="s">
        <v>201</v>
      </c>
      <c r="D13" s="89"/>
      <c r="E13" s="90" t="s">
        <v>197</v>
      </c>
      <c r="F13" s="89"/>
      <c r="G13" s="59" t="s">
        <v>202</v>
      </c>
      <c r="H13" s="89"/>
      <c r="I13" s="90" t="s">
        <v>203</v>
      </c>
      <c r="J13" s="89"/>
    </row>
    <row r="14" spans="1:12" ht="22.5">
      <c r="A14" s="88"/>
      <c r="B14" s="89"/>
      <c r="C14" s="90"/>
      <c r="D14" s="89"/>
      <c r="E14" s="90"/>
      <c r="F14" s="89"/>
      <c r="G14" s="59" t="s">
        <v>204</v>
      </c>
      <c r="H14" s="89"/>
      <c r="I14" s="90"/>
      <c r="J14" s="89"/>
    </row>
    <row r="15" spans="1:12">
      <c r="A15" s="82" t="s">
        <v>12</v>
      </c>
      <c r="B15" s="84"/>
      <c r="C15" s="86">
        <v>180</v>
      </c>
      <c r="D15" s="91">
        <v>3</v>
      </c>
      <c r="E15" s="61" t="s">
        <v>205</v>
      </c>
      <c r="F15" s="91">
        <v>4</v>
      </c>
      <c r="G15" s="61" t="s">
        <v>206</v>
      </c>
      <c r="H15" s="91" t="s">
        <v>207</v>
      </c>
      <c r="I15" s="86" t="s">
        <v>187</v>
      </c>
      <c r="J15" s="86"/>
    </row>
    <row r="16" spans="1:12">
      <c r="A16" s="82"/>
      <c r="B16" s="84"/>
      <c r="C16" s="86"/>
      <c r="D16" s="91"/>
      <c r="E16" s="61" t="s">
        <v>208</v>
      </c>
      <c r="F16" s="91"/>
      <c r="G16" s="61" t="s">
        <v>209</v>
      </c>
      <c r="H16" s="91"/>
      <c r="I16" s="86"/>
      <c r="J16" s="86"/>
    </row>
    <row r="17" spans="1:10">
      <c r="A17" s="82"/>
      <c r="B17" s="84"/>
      <c r="C17" s="86"/>
      <c r="D17" s="91"/>
      <c r="E17" s="61" t="s">
        <v>210</v>
      </c>
      <c r="F17" s="91"/>
      <c r="G17" s="61" t="s">
        <v>211</v>
      </c>
      <c r="H17" s="91"/>
      <c r="I17" s="86"/>
      <c r="J17" s="86"/>
    </row>
    <row r="18" spans="1:10" ht="33">
      <c r="A18" s="82"/>
      <c r="B18" s="84"/>
      <c r="C18" s="86"/>
      <c r="D18" s="91"/>
      <c r="E18" s="61" t="s">
        <v>212</v>
      </c>
      <c r="F18" s="91"/>
      <c r="G18" s="61" t="s">
        <v>213</v>
      </c>
      <c r="H18" s="91"/>
      <c r="I18" s="86"/>
      <c r="J18" s="86"/>
    </row>
    <row r="19" spans="1:10">
      <c r="A19" s="88" t="s">
        <v>13</v>
      </c>
      <c r="B19" s="89"/>
      <c r="C19" s="90">
        <v>160</v>
      </c>
      <c r="D19" s="92">
        <v>2</v>
      </c>
      <c r="E19" s="59" t="s">
        <v>214</v>
      </c>
      <c r="F19" s="89"/>
      <c r="G19" s="90" t="s">
        <v>197</v>
      </c>
      <c r="H19" s="89"/>
      <c r="I19" s="90" t="s">
        <v>187</v>
      </c>
      <c r="J19" s="90"/>
    </row>
    <row r="20" spans="1:10">
      <c r="A20" s="88"/>
      <c r="B20" s="89"/>
      <c r="C20" s="90"/>
      <c r="D20" s="92"/>
      <c r="E20" s="59" t="s">
        <v>215</v>
      </c>
      <c r="F20" s="89"/>
      <c r="G20" s="90"/>
      <c r="H20" s="89"/>
      <c r="I20" s="90"/>
      <c r="J20" s="90"/>
    </row>
    <row r="21" spans="1:10">
      <c r="A21" s="88"/>
      <c r="B21" s="89"/>
      <c r="C21" s="90"/>
      <c r="D21" s="92"/>
      <c r="E21" s="59" t="s">
        <v>216</v>
      </c>
      <c r="F21" s="89"/>
      <c r="G21" s="90"/>
      <c r="H21" s="89"/>
      <c r="I21" s="90"/>
      <c r="J21" s="90"/>
    </row>
    <row r="22" spans="1:10">
      <c r="A22" s="88"/>
      <c r="B22" s="89"/>
      <c r="C22" s="90"/>
      <c r="D22" s="92"/>
      <c r="E22" s="59" t="s">
        <v>217</v>
      </c>
      <c r="F22" s="89"/>
      <c r="G22" s="90"/>
      <c r="H22" s="89"/>
      <c r="I22" s="90"/>
      <c r="J22" s="90"/>
    </row>
    <row r="23" spans="1:10">
      <c r="A23" s="82" t="s">
        <v>14</v>
      </c>
      <c r="B23" s="84"/>
      <c r="C23" s="86">
        <v>180</v>
      </c>
      <c r="D23" s="84"/>
      <c r="E23" s="61" t="s">
        <v>214</v>
      </c>
      <c r="F23" s="84"/>
      <c r="G23" s="86" t="s">
        <v>197</v>
      </c>
      <c r="H23" s="91">
        <v>6</v>
      </c>
      <c r="I23" s="86" t="s">
        <v>187</v>
      </c>
      <c r="J23" s="86"/>
    </row>
    <row r="24" spans="1:10">
      <c r="A24" s="82"/>
      <c r="B24" s="84"/>
      <c r="C24" s="86"/>
      <c r="D24" s="84"/>
      <c r="E24" s="61" t="s">
        <v>215</v>
      </c>
      <c r="F24" s="84"/>
      <c r="G24" s="86"/>
      <c r="H24" s="91"/>
      <c r="I24" s="86"/>
      <c r="J24" s="86"/>
    </row>
    <row r="25" spans="1:10">
      <c r="A25" s="82"/>
      <c r="B25" s="84"/>
      <c r="C25" s="86"/>
      <c r="D25" s="84"/>
      <c r="E25" s="61" t="s">
        <v>218</v>
      </c>
      <c r="F25" s="84"/>
      <c r="G25" s="86"/>
      <c r="H25" s="91"/>
      <c r="I25" s="86"/>
      <c r="J25" s="86"/>
    </row>
    <row r="26" spans="1:10" ht="22.5">
      <c r="A26" s="88" t="s">
        <v>15</v>
      </c>
      <c r="B26" s="89"/>
      <c r="C26" s="90" t="s">
        <v>197</v>
      </c>
      <c r="D26" s="89"/>
      <c r="E26" s="59" t="s">
        <v>219</v>
      </c>
      <c r="F26" s="89"/>
      <c r="G26" s="59" t="s">
        <v>220</v>
      </c>
      <c r="H26" s="89"/>
      <c r="I26" s="90" t="s">
        <v>187</v>
      </c>
      <c r="J26" s="90"/>
    </row>
    <row r="27" spans="1:10">
      <c r="A27" s="88"/>
      <c r="B27" s="89"/>
      <c r="C27" s="90"/>
      <c r="D27" s="89"/>
      <c r="E27" s="59" t="s">
        <v>221</v>
      </c>
      <c r="F27" s="89"/>
      <c r="G27" s="59" t="s">
        <v>222</v>
      </c>
      <c r="H27" s="89"/>
      <c r="I27" s="90"/>
      <c r="J27" s="90"/>
    </row>
    <row r="28" spans="1:10">
      <c r="A28" s="64" t="s">
        <v>16</v>
      </c>
      <c r="B28" s="60"/>
      <c r="C28" s="61">
        <v>180</v>
      </c>
      <c r="D28" s="60"/>
      <c r="E28" s="61" t="s">
        <v>197</v>
      </c>
      <c r="F28" s="60"/>
      <c r="G28" s="61" t="s">
        <v>223</v>
      </c>
      <c r="H28" s="60"/>
      <c r="I28" s="61" t="s">
        <v>224</v>
      </c>
      <c r="J28" s="61"/>
    </row>
    <row r="29" spans="1:10">
      <c r="A29" s="88" t="s">
        <v>17</v>
      </c>
      <c r="B29" s="89"/>
      <c r="C29" s="90">
        <v>180</v>
      </c>
      <c r="D29" s="92">
        <v>1</v>
      </c>
      <c r="E29" s="59" t="s">
        <v>225</v>
      </c>
      <c r="F29" s="92">
        <v>1</v>
      </c>
      <c r="G29" s="90" t="s">
        <v>197</v>
      </c>
      <c r="H29" s="89"/>
      <c r="I29" s="90" t="s">
        <v>187</v>
      </c>
      <c r="J29" s="90"/>
    </row>
    <row r="30" spans="1:10">
      <c r="A30" s="88"/>
      <c r="B30" s="89"/>
      <c r="C30" s="90"/>
      <c r="D30" s="92"/>
      <c r="E30" s="59" t="s">
        <v>193</v>
      </c>
      <c r="F30" s="92"/>
      <c r="G30" s="90"/>
      <c r="H30" s="89"/>
      <c r="I30" s="90"/>
      <c r="J30" s="90"/>
    </row>
    <row r="31" spans="1:10">
      <c r="A31" s="82" t="s">
        <v>18</v>
      </c>
      <c r="B31" s="84"/>
      <c r="C31" s="86">
        <v>180</v>
      </c>
      <c r="D31" s="91">
        <v>2</v>
      </c>
      <c r="E31" s="86" t="s">
        <v>197</v>
      </c>
      <c r="F31" s="84"/>
      <c r="G31" s="61" t="s">
        <v>226</v>
      </c>
      <c r="H31" s="84"/>
      <c r="I31" s="86" t="s">
        <v>197</v>
      </c>
      <c r="J31" s="86"/>
    </row>
    <row r="32" spans="1:10">
      <c r="A32" s="82"/>
      <c r="B32" s="84"/>
      <c r="C32" s="86"/>
      <c r="D32" s="91"/>
      <c r="E32" s="86"/>
      <c r="F32" s="84"/>
      <c r="G32" s="61" t="s">
        <v>227</v>
      </c>
      <c r="H32" s="84"/>
      <c r="I32" s="86"/>
      <c r="J32" s="86"/>
    </row>
    <row r="33" spans="1:10">
      <c r="A33" s="82"/>
      <c r="B33" s="84"/>
      <c r="C33" s="86"/>
      <c r="D33" s="91"/>
      <c r="E33" s="86"/>
      <c r="F33" s="84"/>
      <c r="G33" s="61" t="s">
        <v>228</v>
      </c>
      <c r="H33" s="84"/>
      <c r="I33" s="86"/>
      <c r="J33" s="86"/>
    </row>
    <row r="34" spans="1:10">
      <c r="A34" s="71" t="s">
        <v>19</v>
      </c>
      <c r="B34" s="72">
        <v>7</v>
      </c>
      <c r="C34" s="59">
        <v>180</v>
      </c>
      <c r="D34" s="72">
        <v>8</v>
      </c>
      <c r="E34" s="73">
        <v>1080</v>
      </c>
      <c r="F34" s="58"/>
      <c r="G34" s="59" t="s">
        <v>197</v>
      </c>
      <c r="H34" s="58"/>
      <c r="I34" s="59" t="s">
        <v>224</v>
      </c>
      <c r="J34" s="59"/>
    </row>
    <row r="35" spans="1:10">
      <c r="A35" s="82" t="s">
        <v>20</v>
      </c>
      <c r="B35" s="84"/>
      <c r="C35" s="86" t="s">
        <v>229</v>
      </c>
      <c r="D35" s="91">
        <v>2</v>
      </c>
      <c r="E35" s="61" t="s">
        <v>230</v>
      </c>
      <c r="F35" s="84"/>
      <c r="G35" s="86" t="s">
        <v>229</v>
      </c>
      <c r="H35" s="84"/>
      <c r="I35" s="86" t="s">
        <v>187</v>
      </c>
      <c r="J35" s="86"/>
    </row>
    <row r="36" spans="1:10">
      <c r="A36" s="82"/>
      <c r="B36" s="84"/>
      <c r="C36" s="86"/>
      <c r="D36" s="91"/>
      <c r="E36" s="61" t="s">
        <v>231</v>
      </c>
      <c r="F36" s="84"/>
      <c r="G36" s="86"/>
      <c r="H36" s="84"/>
      <c r="I36" s="86"/>
      <c r="J36" s="86"/>
    </row>
    <row r="37" spans="1:10">
      <c r="A37" s="82"/>
      <c r="B37" s="84"/>
      <c r="C37" s="86"/>
      <c r="D37" s="91"/>
      <c r="E37" s="61" t="s">
        <v>210</v>
      </c>
      <c r="F37" s="84"/>
      <c r="G37" s="86"/>
      <c r="H37" s="84"/>
      <c r="I37" s="86"/>
      <c r="J37" s="86"/>
    </row>
    <row r="38" spans="1:10">
      <c r="A38" s="82"/>
      <c r="B38" s="84"/>
      <c r="C38" s="86"/>
      <c r="D38" s="91"/>
      <c r="E38" s="61" t="s">
        <v>232</v>
      </c>
      <c r="F38" s="84"/>
      <c r="G38" s="86"/>
      <c r="H38" s="84"/>
      <c r="I38" s="86"/>
      <c r="J38" s="86"/>
    </row>
    <row r="39" spans="1:10" ht="22.5">
      <c r="A39" s="82"/>
      <c r="B39" s="84"/>
      <c r="C39" s="86"/>
      <c r="D39" s="91"/>
      <c r="E39" s="61" t="s">
        <v>233</v>
      </c>
      <c r="F39" s="84"/>
      <c r="G39" s="86"/>
      <c r="H39" s="84"/>
      <c r="I39" s="86"/>
      <c r="J39" s="86"/>
    </row>
    <row r="40" spans="1:10">
      <c r="A40" s="88" t="s">
        <v>21</v>
      </c>
      <c r="B40" s="89"/>
      <c r="C40" s="90">
        <v>185</v>
      </c>
      <c r="D40" s="89"/>
      <c r="E40" s="90" t="s">
        <v>197</v>
      </c>
      <c r="F40" s="89"/>
      <c r="G40" s="59" t="s">
        <v>234</v>
      </c>
      <c r="H40" s="89"/>
      <c r="I40" s="90" t="s">
        <v>187</v>
      </c>
      <c r="J40" s="90"/>
    </row>
    <row r="41" spans="1:10">
      <c r="A41" s="88"/>
      <c r="B41" s="89"/>
      <c r="C41" s="90"/>
      <c r="D41" s="89"/>
      <c r="E41" s="90"/>
      <c r="F41" s="89"/>
      <c r="G41" s="59" t="s">
        <v>235</v>
      </c>
      <c r="H41" s="89"/>
      <c r="I41" s="90"/>
      <c r="J41" s="90"/>
    </row>
    <row r="42" spans="1:10">
      <c r="A42" s="88"/>
      <c r="B42" s="89"/>
      <c r="C42" s="90"/>
      <c r="D42" s="89"/>
      <c r="E42" s="90"/>
      <c r="F42" s="89"/>
      <c r="G42" s="59" t="s">
        <v>236</v>
      </c>
      <c r="H42" s="89"/>
      <c r="I42" s="90"/>
      <c r="J42" s="90"/>
    </row>
    <row r="43" spans="1:10">
      <c r="A43" s="82" t="s">
        <v>22</v>
      </c>
      <c r="B43" s="84"/>
      <c r="C43" s="86">
        <v>180</v>
      </c>
      <c r="D43" s="84"/>
      <c r="E43" s="86" t="s">
        <v>197</v>
      </c>
      <c r="F43" s="84"/>
      <c r="G43" s="61" t="s">
        <v>237</v>
      </c>
      <c r="H43" s="84"/>
      <c r="I43" s="86" t="s">
        <v>197</v>
      </c>
      <c r="J43" s="86"/>
    </row>
    <row r="44" spans="1:10">
      <c r="A44" s="82"/>
      <c r="B44" s="84"/>
      <c r="C44" s="86"/>
      <c r="D44" s="84"/>
      <c r="E44" s="86"/>
      <c r="F44" s="84"/>
      <c r="G44" s="61" t="s">
        <v>238</v>
      </c>
      <c r="H44" s="84"/>
      <c r="I44" s="86"/>
      <c r="J44" s="86"/>
    </row>
    <row r="45" spans="1:10">
      <c r="A45" s="82"/>
      <c r="B45" s="84"/>
      <c r="C45" s="86"/>
      <c r="D45" s="84"/>
      <c r="E45" s="86"/>
      <c r="F45" s="84"/>
      <c r="G45" s="61" t="s">
        <v>239</v>
      </c>
      <c r="H45" s="84"/>
      <c r="I45" s="86"/>
      <c r="J45" s="86"/>
    </row>
    <row r="46" spans="1:10" ht="22.5">
      <c r="A46" s="88" t="s">
        <v>23</v>
      </c>
      <c r="B46" s="89"/>
      <c r="C46" s="90">
        <v>180</v>
      </c>
      <c r="D46" s="92">
        <v>2</v>
      </c>
      <c r="E46" s="93">
        <v>1080</v>
      </c>
      <c r="F46" s="89"/>
      <c r="G46" s="59" t="s">
        <v>240</v>
      </c>
      <c r="H46" s="89"/>
      <c r="I46" s="90" t="s">
        <v>241</v>
      </c>
      <c r="J46" s="90"/>
    </row>
    <row r="47" spans="1:10">
      <c r="A47" s="88"/>
      <c r="B47" s="89"/>
      <c r="C47" s="90"/>
      <c r="D47" s="92"/>
      <c r="E47" s="93"/>
      <c r="F47" s="89"/>
      <c r="G47" s="59" t="s">
        <v>242</v>
      </c>
      <c r="H47" s="89"/>
      <c r="I47" s="90"/>
      <c r="J47" s="90"/>
    </row>
    <row r="48" spans="1:10">
      <c r="A48" s="82" t="s">
        <v>24</v>
      </c>
      <c r="B48" s="84"/>
      <c r="C48" s="61" t="s">
        <v>243</v>
      </c>
      <c r="D48" s="84"/>
      <c r="E48" s="61" t="s">
        <v>244</v>
      </c>
      <c r="F48" s="84"/>
      <c r="G48" s="86" t="s">
        <v>223</v>
      </c>
      <c r="H48" s="84"/>
      <c r="I48" s="86" t="s">
        <v>187</v>
      </c>
      <c r="J48" s="86"/>
    </row>
    <row r="49" spans="1:10">
      <c r="A49" s="82"/>
      <c r="B49" s="84"/>
      <c r="C49" s="61" t="s">
        <v>245</v>
      </c>
      <c r="D49" s="84"/>
      <c r="E49" s="61" t="s">
        <v>246</v>
      </c>
      <c r="F49" s="84"/>
      <c r="G49" s="86"/>
      <c r="H49" s="84"/>
      <c r="I49" s="86"/>
      <c r="J49" s="86"/>
    </row>
    <row r="50" spans="1:10">
      <c r="A50" s="82"/>
      <c r="B50" s="84"/>
      <c r="C50" s="61"/>
      <c r="D50" s="84"/>
      <c r="E50" s="61" t="s">
        <v>247</v>
      </c>
      <c r="F50" s="84"/>
      <c r="G50" s="86"/>
      <c r="H50" s="84"/>
      <c r="I50" s="86"/>
      <c r="J50" s="86"/>
    </row>
    <row r="51" spans="1:10">
      <c r="A51" s="71" t="s">
        <v>25</v>
      </c>
      <c r="B51" s="58"/>
      <c r="C51" s="59">
        <v>170</v>
      </c>
      <c r="D51" s="72">
        <v>8</v>
      </c>
      <c r="E51" s="73">
        <v>1062</v>
      </c>
      <c r="F51" s="58"/>
      <c r="G51" s="59" t="s">
        <v>186</v>
      </c>
      <c r="H51" s="72">
        <v>9</v>
      </c>
      <c r="I51" s="59" t="s">
        <v>187</v>
      </c>
      <c r="J51" s="59"/>
    </row>
    <row r="52" spans="1:10">
      <c r="A52" s="82" t="s">
        <v>26</v>
      </c>
      <c r="B52" s="84"/>
      <c r="C52" s="86">
        <v>177</v>
      </c>
      <c r="D52" s="91">
        <v>1</v>
      </c>
      <c r="E52" s="94">
        <v>1062</v>
      </c>
      <c r="F52" s="91" t="s">
        <v>248</v>
      </c>
      <c r="G52" s="61" t="s">
        <v>249</v>
      </c>
      <c r="H52" s="91">
        <v>4</v>
      </c>
      <c r="I52" s="86" t="s">
        <v>187</v>
      </c>
      <c r="J52" s="86"/>
    </row>
    <row r="53" spans="1:10">
      <c r="A53" s="82"/>
      <c r="B53" s="84"/>
      <c r="C53" s="86"/>
      <c r="D53" s="91"/>
      <c r="E53" s="94"/>
      <c r="F53" s="91"/>
      <c r="G53" s="61" t="s">
        <v>250</v>
      </c>
      <c r="H53" s="91"/>
      <c r="I53" s="86"/>
      <c r="J53" s="86"/>
    </row>
    <row r="54" spans="1:10">
      <c r="A54" s="88" t="s">
        <v>27</v>
      </c>
      <c r="B54" s="89"/>
      <c r="C54" s="90">
        <v>180</v>
      </c>
      <c r="D54" s="92" t="s">
        <v>251</v>
      </c>
      <c r="E54" s="90" t="s">
        <v>197</v>
      </c>
      <c r="F54" s="89"/>
      <c r="G54" s="59" t="s">
        <v>252</v>
      </c>
      <c r="H54" s="92">
        <v>11</v>
      </c>
      <c r="I54" s="90" t="s">
        <v>187</v>
      </c>
      <c r="J54" s="89"/>
    </row>
    <row r="55" spans="1:10">
      <c r="A55" s="88"/>
      <c r="B55" s="89"/>
      <c r="C55" s="90"/>
      <c r="D55" s="92"/>
      <c r="E55" s="90"/>
      <c r="F55" s="89"/>
      <c r="G55" s="59" t="s">
        <v>253</v>
      </c>
      <c r="H55" s="92"/>
      <c r="I55" s="90"/>
      <c r="J55" s="89"/>
    </row>
    <row r="56" spans="1:10" ht="82.5" customHeight="1">
      <c r="A56" s="82" t="s">
        <v>28</v>
      </c>
      <c r="B56" s="84"/>
      <c r="C56" s="86">
        <v>180</v>
      </c>
      <c r="D56" s="84"/>
      <c r="E56" s="67">
        <v>1080</v>
      </c>
      <c r="F56" s="84"/>
      <c r="G56" s="86" t="s">
        <v>254</v>
      </c>
      <c r="H56" s="84"/>
      <c r="I56" s="86" t="s">
        <v>255</v>
      </c>
      <c r="J56" s="91">
        <v>12</v>
      </c>
    </row>
    <row r="57" spans="1:10">
      <c r="A57" s="82"/>
      <c r="B57" s="84"/>
      <c r="C57" s="86"/>
      <c r="D57" s="84"/>
      <c r="E57" s="61" t="s">
        <v>256</v>
      </c>
      <c r="F57" s="84"/>
      <c r="G57" s="86"/>
      <c r="H57" s="84"/>
      <c r="I57" s="86"/>
      <c r="J57" s="91"/>
    </row>
    <row r="58" spans="1:10">
      <c r="A58" s="88" t="s">
        <v>29</v>
      </c>
      <c r="B58" s="89"/>
      <c r="C58" s="90">
        <v>180</v>
      </c>
      <c r="D58" s="92">
        <v>13</v>
      </c>
      <c r="E58" s="59" t="s">
        <v>257</v>
      </c>
      <c r="F58" s="89"/>
      <c r="G58" s="90" t="s">
        <v>197</v>
      </c>
      <c r="H58" s="89"/>
      <c r="I58" s="90" t="s">
        <v>187</v>
      </c>
      <c r="J58" s="90"/>
    </row>
    <row r="59" spans="1:10">
      <c r="A59" s="88"/>
      <c r="B59" s="89"/>
      <c r="C59" s="90"/>
      <c r="D59" s="92"/>
      <c r="E59" s="59" t="s">
        <v>258</v>
      </c>
      <c r="F59" s="89"/>
      <c r="G59" s="90"/>
      <c r="H59" s="89"/>
      <c r="I59" s="90"/>
      <c r="J59" s="90"/>
    </row>
    <row r="60" spans="1:10">
      <c r="A60" s="88"/>
      <c r="B60" s="89"/>
      <c r="C60" s="90"/>
      <c r="D60" s="92"/>
      <c r="E60" s="59" t="s">
        <v>259</v>
      </c>
      <c r="F60" s="89"/>
      <c r="G60" s="90"/>
      <c r="H60" s="89"/>
      <c r="I60" s="90"/>
      <c r="J60" s="90"/>
    </row>
    <row r="61" spans="1:10" ht="75">
      <c r="A61" s="88"/>
      <c r="B61" s="89"/>
      <c r="C61" s="90"/>
      <c r="D61" s="92"/>
      <c r="E61" s="59" t="s">
        <v>260</v>
      </c>
      <c r="F61" s="89"/>
      <c r="G61" s="90"/>
      <c r="H61" s="89"/>
      <c r="I61" s="90"/>
      <c r="J61" s="90"/>
    </row>
    <row r="62" spans="1:10">
      <c r="A62" s="64" t="s">
        <v>30</v>
      </c>
      <c r="B62" s="60"/>
      <c r="C62" s="61">
        <v>180</v>
      </c>
      <c r="D62" s="60"/>
      <c r="E62" s="67">
        <v>1098</v>
      </c>
      <c r="F62" s="60"/>
      <c r="G62" s="61" t="s">
        <v>197</v>
      </c>
      <c r="H62" s="60"/>
      <c r="I62" s="61" t="s">
        <v>261</v>
      </c>
      <c r="J62" s="61"/>
    </row>
    <row r="63" spans="1:10">
      <c r="A63" s="88" t="s">
        <v>31</v>
      </c>
      <c r="B63" s="89"/>
      <c r="C63" s="90" t="s">
        <v>262</v>
      </c>
      <c r="D63" s="89"/>
      <c r="E63" s="59" t="s">
        <v>257</v>
      </c>
      <c r="F63" s="89"/>
      <c r="G63" s="90" t="s">
        <v>197</v>
      </c>
      <c r="H63" s="89"/>
      <c r="I63" s="90" t="s">
        <v>261</v>
      </c>
      <c r="J63" s="90"/>
    </row>
    <row r="64" spans="1:10">
      <c r="A64" s="88"/>
      <c r="B64" s="89"/>
      <c r="C64" s="90"/>
      <c r="D64" s="89"/>
      <c r="E64" s="59" t="s">
        <v>263</v>
      </c>
      <c r="F64" s="89"/>
      <c r="G64" s="90"/>
      <c r="H64" s="89"/>
      <c r="I64" s="90"/>
      <c r="J64" s="90"/>
    </row>
    <row r="65" spans="1:10">
      <c r="A65" s="88"/>
      <c r="B65" s="89"/>
      <c r="C65" s="90"/>
      <c r="D65" s="89"/>
      <c r="E65" s="59" t="s">
        <v>264</v>
      </c>
      <c r="F65" s="89"/>
      <c r="G65" s="90"/>
      <c r="H65" s="89"/>
      <c r="I65" s="90"/>
      <c r="J65" s="90"/>
    </row>
    <row r="66" spans="1:10">
      <c r="A66" s="88"/>
      <c r="B66" s="89"/>
      <c r="C66" s="90"/>
      <c r="D66" s="89"/>
      <c r="E66" s="59" t="s">
        <v>265</v>
      </c>
      <c r="F66" s="89"/>
      <c r="G66" s="90"/>
      <c r="H66" s="89"/>
      <c r="I66" s="90"/>
      <c r="J66" s="90"/>
    </row>
    <row r="67" spans="1:10">
      <c r="A67" s="64" t="s">
        <v>32</v>
      </c>
      <c r="B67" s="60"/>
      <c r="C67" s="61">
        <v>180</v>
      </c>
      <c r="D67" s="60"/>
      <c r="E67" s="61" t="s">
        <v>197</v>
      </c>
      <c r="F67" s="60"/>
      <c r="G67" s="61" t="s">
        <v>266</v>
      </c>
      <c r="H67" s="60"/>
      <c r="I67" s="61" t="s">
        <v>187</v>
      </c>
      <c r="J67" s="61"/>
    </row>
    <row r="68" spans="1:10" ht="61.5" customHeight="1">
      <c r="A68" s="88" t="s">
        <v>33</v>
      </c>
      <c r="B68" s="89"/>
      <c r="C68" s="90" t="s">
        <v>197</v>
      </c>
      <c r="D68" s="89"/>
      <c r="E68" s="59" t="s">
        <v>267</v>
      </c>
      <c r="F68" s="89"/>
      <c r="G68" s="90" t="s">
        <v>254</v>
      </c>
      <c r="H68" s="89"/>
      <c r="I68" s="90" t="s">
        <v>268</v>
      </c>
      <c r="J68" s="92">
        <v>14</v>
      </c>
    </row>
    <row r="69" spans="1:10">
      <c r="A69" s="88"/>
      <c r="B69" s="89"/>
      <c r="C69" s="90"/>
      <c r="D69" s="89"/>
      <c r="E69" s="59" t="s">
        <v>269</v>
      </c>
      <c r="F69" s="89"/>
      <c r="G69" s="90"/>
      <c r="H69" s="89"/>
      <c r="I69" s="90"/>
      <c r="J69" s="92"/>
    </row>
    <row r="70" spans="1:10">
      <c r="A70" s="82" t="s">
        <v>34</v>
      </c>
      <c r="B70" s="84"/>
      <c r="C70" s="86" t="s">
        <v>270</v>
      </c>
      <c r="D70" s="91">
        <v>8</v>
      </c>
      <c r="E70" s="61" t="s">
        <v>271</v>
      </c>
      <c r="F70" s="91">
        <v>15</v>
      </c>
      <c r="G70" s="86" t="s">
        <v>270</v>
      </c>
      <c r="H70" s="84"/>
      <c r="I70" s="86" t="s">
        <v>197</v>
      </c>
      <c r="J70" s="86"/>
    </row>
    <row r="71" spans="1:10">
      <c r="A71" s="82"/>
      <c r="B71" s="84"/>
      <c r="C71" s="86"/>
      <c r="D71" s="91"/>
      <c r="E71" s="61" t="s">
        <v>272</v>
      </c>
      <c r="F71" s="91"/>
      <c r="G71" s="86"/>
      <c r="H71" s="84"/>
      <c r="I71" s="86"/>
      <c r="J71" s="86"/>
    </row>
    <row r="72" spans="1:10">
      <c r="A72" s="82"/>
      <c r="B72" s="84"/>
      <c r="C72" s="86"/>
      <c r="D72" s="91"/>
      <c r="E72" s="61" t="s">
        <v>273</v>
      </c>
      <c r="F72" s="91"/>
      <c r="G72" s="86"/>
      <c r="H72" s="84"/>
      <c r="I72" s="86"/>
      <c r="J72" s="86"/>
    </row>
    <row r="73" spans="1:10">
      <c r="A73" s="82"/>
      <c r="B73" s="84"/>
      <c r="C73" s="86"/>
      <c r="D73" s="91"/>
      <c r="E73" s="61" t="s">
        <v>274</v>
      </c>
      <c r="F73" s="91"/>
      <c r="G73" s="86"/>
      <c r="H73" s="84"/>
      <c r="I73" s="86"/>
      <c r="J73" s="86"/>
    </row>
    <row r="74" spans="1:10">
      <c r="A74" s="88" t="s">
        <v>35</v>
      </c>
      <c r="B74" s="89"/>
      <c r="C74" s="90" t="s">
        <v>197</v>
      </c>
      <c r="D74" s="89"/>
      <c r="E74" s="59" t="s">
        <v>275</v>
      </c>
      <c r="F74" s="89"/>
      <c r="G74" s="90" t="s">
        <v>276</v>
      </c>
      <c r="H74" s="89"/>
      <c r="I74" s="90" t="s">
        <v>276</v>
      </c>
      <c r="J74" s="90"/>
    </row>
    <row r="75" spans="1:10">
      <c r="A75" s="88"/>
      <c r="B75" s="89"/>
      <c r="C75" s="90"/>
      <c r="D75" s="89"/>
      <c r="E75" s="59" t="s">
        <v>277</v>
      </c>
      <c r="F75" s="89"/>
      <c r="G75" s="90"/>
      <c r="H75" s="89"/>
      <c r="I75" s="90"/>
      <c r="J75" s="90"/>
    </row>
    <row r="76" spans="1:10">
      <c r="A76" s="88"/>
      <c r="B76" s="89"/>
      <c r="C76" s="90"/>
      <c r="D76" s="89"/>
      <c r="E76" s="59" t="s">
        <v>212</v>
      </c>
      <c r="F76" s="89"/>
      <c r="G76" s="90"/>
      <c r="H76" s="89"/>
      <c r="I76" s="90"/>
      <c r="J76" s="90"/>
    </row>
    <row r="77" spans="1:10">
      <c r="A77" s="82" t="s">
        <v>36</v>
      </c>
      <c r="B77" s="84"/>
      <c r="C77" s="86">
        <v>180</v>
      </c>
      <c r="D77" s="91" t="s">
        <v>278</v>
      </c>
      <c r="E77" s="86" t="s">
        <v>197</v>
      </c>
      <c r="F77" s="84"/>
      <c r="G77" s="61" t="s">
        <v>279</v>
      </c>
      <c r="H77" s="91">
        <v>4</v>
      </c>
      <c r="I77" s="86" t="s">
        <v>187</v>
      </c>
      <c r="J77" s="86"/>
    </row>
    <row r="78" spans="1:10">
      <c r="A78" s="82"/>
      <c r="B78" s="84"/>
      <c r="C78" s="86"/>
      <c r="D78" s="91"/>
      <c r="E78" s="86"/>
      <c r="F78" s="84"/>
      <c r="G78" s="61" t="s">
        <v>280</v>
      </c>
      <c r="H78" s="91"/>
      <c r="I78" s="86"/>
      <c r="J78" s="86"/>
    </row>
    <row r="79" spans="1:10">
      <c r="A79" s="82"/>
      <c r="B79" s="84"/>
      <c r="C79" s="86"/>
      <c r="D79" s="91"/>
      <c r="E79" s="86"/>
      <c r="F79" s="84"/>
      <c r="G79" s="61" t="s">
        <v>281</v>
      </c>
      <c r="H79" s="91"/>
      <c r="I79" s="86"/>
      <c r="J79" s="86"/>
    </row>
    <row r="80" spans="1:10">
      <c r="A80" s="82"/>
      <c r="B80" s="84"/>
      <c r="C80" s="86"/>
      <c r="D80" s="91"/>
      <c r="E80" s="86"/>
      <c r="F80" s="84"/>
      <c r="G80" s="61" t="s">
        <v>282</v>
      </c>
      <c r="H80" s="91"/>
      <c r="I80" s="86"/>
      <c r="J80" s="86"/>
    </row>
    <row r="81" spans="1:10" ht="22.5">
      <c r="A81" s="82"/>
      <c r="B81" s="84"/>
      <c r="C81" s="86"/>
      <c r="D81" s="91"/>
      <c r="E81" s="86"/>
      <c r="F81" s="84"/>
      <c r="G81" s="61" t="s">
        <v>283</v>
      </c>
      <c r="H81" s="91"/>
      <c r="I81" s="86"/>
      <c r="J81" s="86"/>
    </row>
    <row r="82" spans="1:10">
      <c r="A82" s="88" t="s">
        <v>37</v>
      </c>
      <c r="B82" s="89"/>
      <c r="C82" s="90">
        <v>180</v>
      </c>
      <c r="D82" s="92" t="s">
        <v>284</v>
      </c>
      <c r="E82" s="59" t="s">
        <v>230</v>
      </c>
      <c r="F82" s="92">
        <v>1</v>
      </c>
      <c r="G82" s="90" t="s">
        <v>197</v>
      </c>
      <c r="H82" s="92">
        <v>17</v>
      </c>
      <c r="I82" s="90" t="s">
        <v>187</v>
      </c>
      <c r="J82" s="90"/>
    </row>
    <row r="83" spans="1:10">
      <c r="A83" s="88"/>
      <c r="B83" s="89"/>
      <c r="C83" s="90"/>
      <c r="D83" s="92"/>
      <c r="E83" s="59" t="s">
        <v>285</v>
      </c>
      <c r="F83" s="92"/>
      <c r="G83" s="90"/>
      <c r="H83" s="92"/>
      <c r="I83" s="90"/>
      <c r="J83" s="90"/>
    </row>
    <row r="84" spans="1:10">
      <c r="A84" s="88"/>
      <c r="B84" s="89"/>
      <c r="C84" s="90"/>
      <c r="D84" s="92"/>
      <c r="E84" s="59" t="s">
        <v>286</v>
      </c>
      <c r="F84" s="92"/>
      <c r="G84" s="90"/>
      <c r="H84" s="92"/>
      <c r="I84" s="90"/>
      <c r="J84" s="90"/>
    </row>
    <row r="85" spans="1:10">
      <c r="A85" s="82" t="s">
        <v>38</v>
      </c>
      <c r="B85" s="84"/>
      <c r="C85" s="86">
        <v>180</v>
      </c>
      <c r="D85" s="84"/>
      <c r="E85" s="86" t="s">
        <v>197</v>
      </c>
      <c r="F85" s="84"/>
      <c r="G85" s="61" t="s">
        <v>287</v>
      </c>
      <c r="H85" s="84"/>
      <c r="I85" s="86" t="s">
        <v>187</v>
      </c>
      <c r="J85" s="86"/>
    </row>
    <row r="86" spans="1:10">
      <c r="A86" s="82"/>
      <c r="B86" s="84"/>
      <c r="C86" s="86"/>
      <c r="D86" s="84"/>
      <c r="E86" s="86"/>
      <c r="F86" s="84"/>
      <c r="G86" s="61" t="s">
        <v>288</v>
      </c>
      <c r="H86" s="84"/>
      <c r="I86" s="86"/>
      <c r="J86" s="86"/>
    </row>
    <row r="87" spans="1:10">
      <c r="A87" s="88" t="s">
        <v>39</v>
      </c>
      <c r="B87" s="89"/>
      <c r="C87" s="90" t="s">
        <v>197</v>
      </c>
      <c r="D87" s="92">
        <v>2</v>
      </c>
      <c r="E87" s="59" t="s">
        <v>214</v>
      </c>
      <c r="F87" s="92">
        <v>18</v>
      </c>
      <c r="G87" s="59" t="s">
        <v>289</v>
      </c>
      <c r="H87" s="89"/>
      <c r="I87" s="90" t="s">
        <v>187</v>
      </c>
      <c r="J87" s="90"/>
    </row>
    <row r="88" spans="1:10">
      <c r="A88" s="88"/>
      <c r="B88" s="89"/>
      <c r="C88" s="90"/>
      <c r="D88" s="92"/>
      <c r="E88" s="59" t="s">
        <v>290</v>
      </c>
      <c r="F88" s="92"/>
      <c r="G88" s="59" t="s">
        <v>291</v>
      </c>
      <c r="H88" s="89"/>
      <c r="I88" s="90"/>
      <c r="J88" s="90"/>
    </row>
    <row r="89" spans="1:10">
      <c r="A89" s="88"/>
      <c r="B89" s="89"/>
      <c r="C89" s="90"/>
      <c r="D89" s="92"/>
      <c r="E89" s="59" t="s">
        <v>292</v>
      </c>
      <c r="F89" s="92"/>
      <c r="G89" s="59" t="s">
        <v>293</v>
      </c>
      <c r="H89" s="89"/>
      <c r="I89" s="90"/>
      <c r="J89" s="90"/>
    </row>
    <row r="90" spans="1:10">
      <c r="A90" s="88"/>
      <c r="B90" s="89"/>
      <c r="C90" s="90"/>
      <c r="D90" s="92"/>
      <c r="E90" s="59" t="s">
        <v>294</v>
      </c>
      <c r="F90" s="92"/>
      <c r="G90" s="59" t="s">
        <v>238</v>
      </c>
      <c r="H90" s="89"/>
      <c r="I90" s="90"/>
      <c r="J90" s="90"/>
    </row>
    <row r="91" spans="1:10">
      <c r="A91" s="88"/>
      <c r="B91" s="89"/>
      <c r="C91" s="90"/>
      <c r="D91" s="92"/>
      <c r="E91" s="59" t="s">
        <v>222</v>
      </c>
      <c r="F91" s="92"/>
      <c r="G91" s="59" t="s">
        <v>222</v>
      </c>
      <c r="H91" s="89"/>
      <c r="I91" s="90"/>
      <c r="J91" s="90"/>
    </row>
    <row r="92" spans="1:10">
      <c r="A92" s="82" t="s">
        <v>40</v>
      </c>
      <c r="B92" s="84"/>
      <c r="C92" s="86">
        <v>180</v>
      </c>
      <c r="D92" s="84"/>
      <c r="E92" s="61" t="s">
        <v>214</v>
      </c>
      <c r="F92" s="84"/>
      <c r="G92" s="61" t="s">
        <v>289</v>
      </c>
      <c r="H92" s="84"/>
      <c r="I92" s="86" t="s">
        <v>187</v>
      </c>
      <c r="J92" s="86"/>
    </row>
    <row r="93" spans="1:10">
      <c r="A93" s="82"/>
      <c r="B93" s="84"/>
      <c r="C93" s="86"/>
      <c r="D93" s="84"/>
      <c r="E93" s="61" t="s">
        <v>215</v>
      </c>
      <c r="F93" s="84"/>
      <c r="G93" s="61" t="s">
        <v>295</v>
      </c>
      <c r="H93" s="84"/>
      <c r="I93" s="86"/>
      <c r="J93" s="86"/>
    </row>
    <row r="94" spans="1:10">
      <c r="A94" s="82"/>
      <c r="B94" s="84"/>
      <c r="C94" s="86"/>
      <c r="D94" s="84"/>
      <c r="E94" s="61" t="s">
        <v>296</v>
      </c>
      <c r="F94" s="84"/>
      <c r="G94" s="61" t="s">
        <v>237</v>
      </c>
      <c r="H94" s="84"/>
      <c r="I94" s="86"/>
      <c r="J94" s="86"/>
    </row>
    <row r="95" spans="1:10">
      <c r="A95" s="82"/>
      <c r="B95" s="84"/>
      <c r="C95" s="86"/>
      <c r="D95" s="84"/>
      <c r="E95" s="61" t="s">
        <v>297</v>
      </c>
      <c r="F95" s="84"/>
      <c r="G95" s="61" t="s">
        <v>282</v>
      </c>
      <c r="H95" s="84"/>
      <c r="I95" s="86"/>
      <c r="J95" s="86"/>
    </row>
    <row r="96" spans="1:10">
      <c r="A96" s="82"/>
      <c r="B96" s="84"/>
      <c r="C96" s="86"/>
      <c r="D96" s="84"/>
      <c r="E96" s="61"/>
      <c r="F96" s="84"/>
      <c r="G96" s="61" t="s">
        <v>298</v>
      </c>
      <c r="H96" s="84"/>
      <c r="I96" s="86"/>
      <c r="J96" s="86"/>
    </row>
    <row r="97" spans="1:10" ht="33">
      <c r="A97" s="71" t="s">
        <v>41</v>
      </c>
      <c r="B97" s="58"/>
      <c r="C97" s="59">
        <v>185</v>
      </c>
      <c r="D97" s="72">
        <v>1</v>
      </c>
      <c r="E97" s="73">
        <v>1025</v>
      </c>
      <c r="F97" s="72">
        <v>1</v>
      </c>
      <c r="G97" s="59" t="s">
        <v>299</v>
      </c>
      <c r="H97" s="58"/>
      <c r="I97" s="59" t="s">
        <v>300</v>
      </c>
      <c r="J97" s="59"/>
    </row>
    <row r="98" spans="1:10">
      <c r="A98" s="82" t="s">
        <v>42</v>
      </c>
      <c r="B98" s="84"/>
      <c r="C98" s="86" t="s">
        <v>197</v>
      </c>
      <c r="D98" s="91">
        <v>2</v>
      </c>
      <c r="E98" s="61" t="s">
        <v>301</v>
      </c>
      <c r="F98" s="91">
        <v>19</v>
      </c>
      <c r="G98" s="61" t="s">
        <v>302</v>
      </c>
      <c r="H98" s="91">
        <v>5</v>
      </c>
      <c r="I98" s="86" t="s">
        <v>187</v>
      </c>
      <c r="J98" s="86"/>
    </row>
    <row r="99" spans="1:10">
      <c r="A99" s="82"/>
      <c r="B99" s="84"/>
      <c r="C99" s="86"/>
      <c r="D99" s="91"/>
      <c r="E99" s="61" t="s">
        <v>303</v>
      </c>
      <c r="F99" s="91"/>
      <c r="G99" s="61" t="s">
        <v>291</v>
      </c>
      <c r="H99" s="91"/>
      <c r="I99" s="86"/>
      <c r="J99" s="86"/>
    </row>
    <row r="100" spans="1:10">
      <c r="A100" s="82"/>
      <c r="B100" s="84"/>
      <c r="C100" s="86"/>
      <c r="D100" s="91"/>
      <c r="E100" s="61" t="s">
        <v>304</v>
      </c>
      <c r="F100" s="91"/>
      <c r="G100" s="61" t="s">
        <v>305</v>
      </c>
      <c r="H100" s="91"/>
      <c r="I100" s="86"/>
      <c r="J100" s="86"/>
    </row>
    <row r="101" spans="1:10">
      <c r="A101" s="82"/>
      <c r="B101" s="84"/>
      <c r="C101" s="86"/>
      <c r="D101" s="91"/>
      <c r="E101" s="61" t="s">
        <v>306</v>
      </c>
      <c r="F101" s="91"/>
      <c r="G101" s="61" t="s">
        <v>307</v>
      </c>
      <c r="H101" s="91"/>
      <c r="I101" s="86"/>
      <c r="J101" s="86"/>
    </row>
    <row r="102" spans="1:10">
      <c r="A102" s="82"/>
      <c r="B102" s="84"/>
      <c r="C102" s="86"/>
      <c r="D102" s="91"/>
      <c r="E102" s="61" t="s">
        <v>308</v>
      </c>
      <c r="F102" s="91"/>
      <c r="G102" s="61"/>
      <c r="H102" s="91"/>
      <c r="I102" s="86"/>
      <c r="J102" s="86"/>
    </row>
    <row r="103" spans="1:10">
      <c r="A103" s="88" t="s">
        <v>43</v>
      </c>
      <c r="B103" s="89"/>
      <c r="C103" s="90" t="s">
        <v>309</v>
      </c>
      <c r="D103" s="92">
        <v>2</v>
      </c>
      <c r="E103" s="59" t="s">
        <v>214</v>
      </c>
      <c r="F103" s="89"/>
      <c r="G103" s="90" t="s">
        <v>197</v>
      </c>
      <c r="H103" s="89"/>
      <c r="I103" s="90" t="s">
        <v>187</v>
      </c>
      <c r="J103" s="90"/>
    </row>
    <row r="104" spans="1:10">
      <c r="A104" s="88"/>
      <c r="B104" s="89"/>
      <c r="C104" s="90"/>
      <c r="D104" s="92"/>
      <c r="E104" s="59" t="s">
        <v>310</v>
      </c>
      <c r="F104" s="89"/>
      <c r="G104" s="90"/>
      <c r="H104" s="89"/>
      <c r="I104" s="90"/>
      <c r="J104" s="90"/>
    </row>
    <row r="105" spans="1:10">
      <c r="A105" s="88"/>
      <c r="B105" s="89"/>
      <c r="C105" s="90"/>
      <c r="D105" s="92"/>
      <c r="E105" s="59" t="s">
        <v>311</v>
      </c>
      <c r="F105" s="89"/>
      <c r="G105" s="90"/>
      <c r="H105" s="89"/>
      <c r="I105" s="90"/>
      <c r="J105" s="90"/>
    </row>
    <row r="106" spans="1:10">
      <c r="A106" s="88"/>
      <c r="B106" s="89"/>
      <c r="C106" s="90"/>
      <c r="D106" s="92"/>
      <c r="E106" s="59" t="s">
        <v>312</v>
      </c>
      <c r="F106" s="89"/>
      <c r="G106" s="90"/>
      <c r="H106" s="89"/>
      <c r="I106" s="90"/>
      <c r="J106" s="90"/>
    </row>
    <row r="107" spans="1:10" ht="33">
      <c r="A107" s="88"/>
      <c r="B107" s="89"/>
      <c r="C107" s="90"/>
      <c r="D107" s="92"/>
      <c r="E107" s="59" t="s">
        <v>313</v>
      </c>
      <c r="F107" s="89"/>
      <c r="G107" s="90"/>
      <c r="H107" s="89"/>
      <c r="I107" s="90"/>
      <c r="J107" s="90"/>
    </row>
    <row r="108" spans="1:10">
      <c r="A108" s="64" t="s">
        <v>44</v>
      </c>
      <c r="B108" s="60"/>
      <c r="C108" s="61">
        <v>180</v>
      </c>
      <c r="D108" s="66" t="s">
        <v>190</v>
      </c>
      <c r="E108" s="67">
        <v>1080</v>
      </c>
      <c r="F108" s="66" t="s">
        <v>314</v>
      </c>
      <c r="G108" s="61" t="s">
        <v>186</v>
      </c>
      <c r="H108" s="60"/>
      <c r="I108" s="61" t="s">
        <v>187</v>
      </c>
      <c r="J108" s="61"/>
    </row>
    <row r="109" spans="1:10">
      <c r="A109" s="88" t="s">
        <v>45</v>
      </c>
      <c r="B109" s="89"/>
      <c r="C109" s="90" t="s">
        <v>197</v>
      </c>
      <c r="D109" s="92">
        <v>2</v>
      </c>
      <c r="E109" s="59" t="s">
        <v>214</v>
      </c>
      <c r="F109" s="89"/>
      <c r="G109" s="90" t="s">
        <v>197</v>
      </c>
      <c r="H109" s="92">
        <v>21</v>
      </c>
      <c r="I109" s="90" t="s">
        <v>187</v>
      </c>
      <c r="J109" s="90"/>
    </row>
    <row r="110" spans="1:10">
      <c r="A110" s="88"/>
      <c r="B110" s="89"/>
      <c r="C110" s="90"/>
      <c r="D110" s="92"/>
      <c r="E110" s="59" t="s">
        <v>215</v>
      </c>
      <c r="F110" s="89"/>
      <c r="G110" s="90"/>
      <c r="H110" s="92"/>
      <c r="I110" s="90"/>
      <c r="J110" s="90"/>
    </row>
    <row r="111" spans="1:10">
      <c r="A111" s="88"/>
      <c r="B111" s="89"/>
      <c r="C111" s="90"/>
      <c r="D111" s="92"/>
      <c r="E111" s="59" t="s">
        <v>315</v>
      </c>
      <c r="F111" s="89"/>
      <c r="G111" s="90"/>
      <c r="H111" s="92"/>
      <c r="I111" s="90"/>
      <c r="J111" s="90"/>
    </row>
    <row r="112" spans="1:10">
      <c r="A112" s="88"/>
      <c r="B112" s="89"/>
      <c r="C112" s="90"/>
      <c r="D112" s="92"/>
      <c r="E112" s="59" t="s">
        <v>316</v>
      </c>
      <c r="F112" s="89"/>
      <c r="G112" s="90"/>
      <c r="H112" s="92"/>
      <c r="I112" s="90"/>
      <c r="J112" s="90"/>
    </row>
    <row r="113" spans="1:10">
      <c r="A113" s="88"/>
      <c r="B113" s="89"/>
      <c r="C113" s="90"/>
      <c r="D113" s="92"/>
      <c r="E113" s="59" t="s">
        <v>317</v>
      </c>
      <c r="F113" s="89"/>
      <c r="G113" s="90"/>
      <c r="H113" s="92"/>
      <c r="I113" s="90"/>
      <c r="J113" s="90"/>
    </row>
    <row r="114" spans="1:10" ht="22.5">
      <c r="A114" s="88"/>
      <c r="B114" s="89"/>
      <c r="C114" s="90"/>
      <c r="D114" s="92"/>
      <c r="E114" s="59" t="s">
        <v>318</v>
      </c>
      <c r="F114" s="89"/>
      <c r="G114" s="90"/>
      <c r="H114" s="92"/>
      <c r="I114" s="90"/>
      <c r="J114" s="90"/>
    </row>
    <row r="115" spans="1:10">
      <c r="A115" s="82" t="s">
        <v>46</v>
      </c>
      <c r="B115" s="84"/>
      <c r="C115" s="86">
        <v>180</v>
      </c>
      <c r="D115" s="91">
        <v>1</v>
      </c>
      <c r="E115" s="61" t="s">
        <v>230</v>
      </c>
      <c r="F115" s="91">
        <v>1</v>
      </c>
      <c r="G115" s="61" t="s">
        <v>252</v>
      </c>
      <c r="H115" s="84"/>
      <c r="I115" s="86" t="s">
        <v>187</v>
      </c>
      <c r="J115" s="86"/>
    </row>
    <row r="116" spans="1:10">
      <c r="A116" s="82"/>
      <c r="B116" s="84"/>
      <c r="C116" s="86"/>
      <c r="D116" s="91"/>
      <c r="E116" s="61" t="s">
        <v>296</v>
      </c>
      <c r="F116" s="91"/>
      <c r="G116" s="61" t="s">
        <v>319</v>
      </c>
      <c r="H116" s="84"/>
      <c r="I116" s="86"/>
      <c r="J116" s="86"/>
    </row>
    <row r="117" spans="1:10">
      <c r="A117" s="82"/>
      <c r="B117" s="84"/>
      <c r="C117" s="86"/>
      <c r="D117" s="91"/>
      <c r="E117" s="61" t="s">
        <v>297</v>
      </c>
      <c r="F117" s="91"/>
      <c r="G117" s="61" t="s">
        <v>320</v>
      </c>
      <c r="H117" s="84"/>
      <c r="I117" s="86"/>
      <c r="J117" s="86"/>
    </row>
    <row r="118" spans="1:10" ht="61.5" customHeight="1">
      <c r="A118" s="88" t="s">
        <v>47</v>
      </c>
      <c r="B118" s="89"/>
      <c r="C118" s="90">
        <v>180</v>
      </c>
      <c r="D118" s="92">
        <v>1</v>
      </c>
      <c r="E118" s="93">
        <v>1080</v>
      </c>
      <c r="F118" s="92">
        <v>1</v>
      </c>
      <c r="G118" s="59" t="s">
        <v>321</v>
      </c>
      <c r="H118" s="89"/>
      <c r="I118" s="90" t="s">
        <v>322</v>
      </c>
      <c r="J118" s="90"/>
    </row>
    <row r="119" spans="1:10">
      <c r="A119" s="88"/>
      <c r="B119" s="89"/>
      <c r="C119" s="90"/>
      <c r="D119" s="92"/>
      <c r="E119" s="93"/>
      <c r="F119" s="92"/>
      <c r="G119" s="59" t="s">
        <v>249</v>
      </c>
      <c r="H119" s="89"/>
      <c r="I119" s="90"/>
      <c r="J119" s="90"/>
    </row>
    <row r="120" spans="1:10">
      <c r="A120" s="82" t="s">
        <v>48</v>
      </c>
      <c r="B120" s="84"/>
      <c r="C120" s="86">
        <v>180</v>
      </c>
      <c r="D120" s="91">
        <v>8</v>
      </c>
      <c r="E120" s="86" t="s">
        <v>197</v>
      </c>
      <c r="F120" s="84"/>
      <c r="G120" s="61" t="s">
        <v>186</v>
      </c>
      <c r="H120" s="84"/>
      <c r="I120" s="86" t="s">
        <v>323</v>
      </c>
      <c r="J120" s="86"/>
    </row>
    <row r="121" spans="1:10">
      <c r="A121" s="82"/>
      <c r="B121" s="84"/>
      <c r="C121" s="86"/>
      <c r="D121" s="91"/>
      <c r="E121" s="86"/>
      <c r="F121" s="84"/>
      <c r="G121" s="61" t="s">
        <v>324</v>
      </c>
      <c r="H121" s="84"/>
      <c r="I121" s="86"/>
      <c r="J121" s="86"/>
    </row>
    <row r="122" spans="1:10">
      <c r="A122" s="88" t="s">
        <v>49</v>
      </c>
      <c r="B122" s="89"/>
      <c r="C122" s="90" t="s">
        <v>299</v>
      </c>
      <c r="D122" s="92">
        <v>2</v>
      </c>
      <c r="E122" s="59" t="s">
        <v>325</v>
      </c>
      <c r="F122" s="92">
        <v>22</v>
      </c>
      <c r="G122" s="90" t="s">
        <v>299</v>
      </c>
      <c r="H122" s="89"/>
      <c r="I122" s="90" t="s">
        <v>326</v>
      </c>
      <c r="J122" s="90"/>
    </row>
    <row r="123" spans="1:10">
      <c r="A123" s="88"/>
      <c r="B123" s="89"/>
      <c r="C123" s="90"/>
      <c r="D123" s="92"/>
      <c r="E123" s="59" t="s">
        <v>327</v>
      </c>
      <c r="F123" s="92"/>
      <c r="G123" s="90"/>
      <c r="H123" s="89"/>
      <c r="I123" s="90"/>
      <c r="J123" s="90"/>
    </row>
    <row r="124" spans="1:10">
      <c r="A124" s="88"/>
      <c r="B124" s="89"/>
      <c r="C124" s="90"/>
      <c r="D124" s="92"/>
      <c r="E124" s="59" t="s">
        <v>328</v>
      </c>
      <c r="F124" s="92"/>
      <c r="G124" s="90"/>
      <c r="H124" s="89"/>
      <c r="I124" s="90"/>
      <c r="J124" s="90"/>
    </row>
    <row r="125" spans="1:10">
      <c r="A125" s="88"/>
      <c r="B125" s="89"/>
      <c r="C125" s="90"/>
      <c r="D125" s="92"/>
      <c r="E125" s="59" t="s">
        <v>195</v>
      </c>
      <c r="F125" s="92"/>
      <c r="G125" s="90"/>
      <c r="H125" s="89"/>
      <c r="I125" s="90"/>
      <c r="J125" s="90"/>
    </row>
    <row r="126" spans="1:10">
      <c r="A126" s="82" t="s">
        <v>50</v>
      </c>
      <c r="B126" s="84"/>
      <c r="C126" s="86">
        <v>180</v>
      </c>
      <c r="D126" s="91">
        <v>8</v>
      </c>
      <c r="E126" s="86" t="s">
        <v>197</v>
      </c>
      <c r="F126" s="84"/>
      <c r="G126" s="61" t="s">
        <v>329</v>
      </c>
      <c r="H126" s="84"/>
      <c r="I126" s="86" t="s">
        <v>330</v>
      </c>
      <c r="J126" s="86"/>
    </row>
    <row r="127" spans="1:10">
      <c r="A127" s="82"/>
      <c r="B127" s="84"/>
      <c r="C127" s="86"/>
      <c r="D127" s="91"/>
      <c r="E127" s="86"/>
      <c r="F127" s="84"/>
      <c r="G127" s="61" t="s">
        <v>331</v>
      </c>
      <c r="H127" s="84"/>
      <c r="I127" s="86"/>
      <c r="J127" s="86"/>
    </row>
    <row r="128" spans="1:10">
      <c r="A128" s="88" t="s">
        <v>51</v>
      </c>
      <c r="B128" s="89"/>
      <c r="C128" s="90" t="s">
        <v>197</v>
      </c>
      <c r="D128" s="89"/>
      <c r="E128" s="59" t="s">
        <v>332</v>
      </c>
      <c r="F128" s="92">
        <v>4</v>
      </c>
      <c r="G128" s="90" t="s">
        <v>333</v>
      </c>
      <c r="H128" s="92">
        <v>4</v>
      </c>
      <c r="I128" s="90" t="s">
        <v>334</v>
      </c>
      <c r="J128" s="90"/>
    </row>
    <row r="129" spans="1:10" ht="22.5">
      <c r="A129" s="88"/>
      <c r="B129" s="89"/>
      <c r="C129" s="90"/>
      <c r="D129" s="89"/>
      <c r="E129" s="59" t="s">
        <v>335</v>
      </c>
      <c r="F129" s="92"/>
      <c r="G129" s="90"/>
      <c r="H129" s="92"/>
      <c r="I129" s="90"/>
      <c r="J129" s="90"/>
    </row>
    <row r="130" spans="1:10">
      <c r="A130" s="82" t="s">
        <v>52</v>
      </c>
      <c r="B130" s="84"/>
      <c r="C130" s="86">
        <v>180</v>
      </c>
      <c r="D130" s="91">
        <v>2</v>
      </c>
      <c r="E130" s="61">
        <v>990</v>
      </c>
      <c r="F130" s="84"/>
      <c r="G130" s="61" t="s">
        <v>279</v>
      </c>
      <c r="H130" s="84"/>
      <c r="I130" s="86" t="s">
        <v>187</v>
      </c>
      <c r="J130" s="86"/>
    </row>
    <row r="131" spans="1:10" ht="22.5">
      <c r="A131" s="82"/>
      <c r="B131" s="84"/>
      <c r="C131" s="86"/>
      <c r="D131" s="91"/>
      <c r="E131" s="61" t="s">
        <v>336</v>
      </c>
      <c r="F131" s="84"/>
      <c r="G131" s="61" t="s">
        <v>288</v>
      </c>
      <c r="H131" s="84"/>
      <c r="I131" s="86"/>
      <c r="J131" s="86"/>
    </row>
    <row r="132" spans="1:10">
      <c r="A132" s="71" t="s">
        <v>53</v>
      </c>
      <c r="B132" s="58"/>
      <c r="C132" s="59">
        <v>175</v>
      </c>
      <c r="D132" s="72">
        <v>8</v>
      </c>
      <c r="E132" s="59" t="s">
        <v>197</v>
      </c>
      <c r="F132" s="58"/>
      <c r="G132" s="59" t="s">
        <v>276</v>
      </c>
      <c r="H132" s="58"/>
      <c r="I132" s="59" t="s">
        <v>187</v>
      </c>
      <c r="J132" s="59"/>
    </row>
    <row r="133" spans="1:10">
      <c r="A133" s="82" t="s">
        <v>54</v>
      </c>
      <c r="B133" s="84"/>
      <c r="C133" s="86">
        <v>180</v>
      </c>
      <c r="D133" s="91">
        <v>1</v>
      </c>
      <c r="E133" s="61" t="s">
        <v>337</v>
      </c>
      <c r="F133" s="91">
        <v>1</v>
      </c>
      <c r="G133" s="61" t="s">
        <v>206</v>
      </c>
      <c r="H133" s="84"/>
      <c r="I133" s="86" t="s">
        <v>338</v>
      </c>
      <c r="J133" s="86"/>
    </row>
    <row r="134" spans="1:10">
      <c r="A134" s="82"/>
      <c r="B134" s="84"/>
      <c r="C134" s="86"/>
      <c r="D134" s="91"/>
      <c r="E134" s="61" t="s">
        <v>339</v>
      </c>
      <c r="F134" s="91"/>
      <c r="G134" s="61" t="s">
        <v>340</v>
      </c>
      <c r="H134" s="84"/>
      <c r="I134" s="86"/>
      <c r="J134" s="86"/>
    </row>
    <row r="135" spans="1:10" ht="22.5">
      <c r="A135" s="82"/>
      <c r="B135" s="84"/>
      <c r="C135" s="86"/>
      <c r="D135" s="91"/>
      <c r="E135" s="61"/>
      <c r="F135" s="91"/>
      <c r="G135" s="61" t="s">
        <v>341</v>
      </c>
      <c r="H135" s="84"/>
      <c r="I135" s="86"/>
      <c r="J135" s="86"/>
    </row>
    <row r="136" spans="1:10">
      <c r="A136" s="88" t="s">
        <v>55</v>
      </c>
      <c r="B136" s="89"/>
      <c r="C136" s="90">
        <v>180</v>
      </c>
      <c r="D136" s="89"/>
      <c r="E136" s="59" t="s">
        <v>230</v>
      </c>
      <c r="F136" s="89"/>
      <c r="G136" s="90" t="s">
        <v>197</v>
      </c>
      <c r="H136" s="89"/>
      <c r="I136" s="90" t="s">
        <v>197</v>
      </c>
      <c r="J136" s="90"/>
    </row>
    <row r="137" spans="1:10">
      <c r="A137" s="88"/>
      <c r="B137" s="89"/>
      <c r="C137" s="90"/>
      <c r="D137" s="89"/>
      <c r="E137" s="59" t="s">
        <v>342</v>
      </c>
      <c r="F137" s="89"/>
      <c r="G137" s="90"/>
      <c r="H137" s="89"/>
      <c r="I137" s="90"/>
      <c r="J137" s="90"/>
    </row>
    <row r="138" spans="1:10">
      <c r="A138" s="88"/>
      <c r="B138" s="89"/>
      <c r="C138" s="90"/>
      <c r="D138" s="89"/>
      <c r="E138" s="59" t="s">
        <v>212</v>
      </c>
      <c r="F138" s="89"/>
      <c r="G138" s="90"/>
      <c r="H138" s="89"/>
      <c r="I138" s="90"/>
      <c r="J138" s="90"/>
    </row>
    <row r="139" spans="1:10">
      <c r="A139" s="82" t="s">
        <v>56</v>
      </c>
      <c r="B139" s="84"/>
      <c r="C139" s="86">
        <v>180</v>
      </c>
      <c r="D139" s="84"/>
      <c r="E139" s="86" t="s">
        <v>197</v>
      </c>
      <c r="F139" s="84"/>
      <c r="G139" s="61" t="s">
        <v>343</v>
      </c>
      <c r="H139" s="91">
        <v>5</v>
      </c>
      <c r="I139" s="86" t="s">
        <v>197</v>
      </c>
      <c r="J139" s="86"/>
    </row>
    <row r="140" spans="1:10">
      <c r="A140" s="82"/>
      <c r="B140" s="84"/>
      <c r="C140" s="86"/>
      <c r="D140" s="84"/>
      <c r="E140" s="86"/>
      <c r="F140" s="84"/>
      <c r="G140" s="61" t="s">
        <v>344</v>
      </c>
      <c r="H140" s="91"/>
      <c r="I140" s="86"/>
      <c r="J140" s="86"/>
    </row>
    <row r="141" spans="1:10">
      <c r="A141" s="82"/>
      <c r="B141" s="84"/>
      <c r="C141" s="86"/>
      <c r="D141" s="84"/>
      <c r="E141" s="86"/>
      <c r="F141" s="84"/>
      <c r="G141" s="61" t="s">
        <v>345</v>
      </c>
      <c r="H141" s="91"/>
      <c r="I141" s="86"/>
      <c r="J141" s="86"/>
    </row>
    <row r="142" spans="1:10">
      <c r="A142" s="88" t="s">
        <v>57</v>
      </c>
      <c r="B142" s="89"/>
      <c r="C142" s="90" t="s">
        <v>197</v>
      </c>
      <c r="D142" s="89"/>
      <c r="E142" s="59" t="s">
        <v>346</v>
      </c>
      <c r="F142" s="89"/>
      <c r="G142" s="90" t="s">
        <v>197</v>
      </c>
      <c r="H142" s="89"/>
      <c r="I142" s="90" t="s">
        <v>347</v>
      </c>
      <c r="J142" s="90"/>
    </row>
    <row r="143" spans="1:10">
      <c r="A143" s="88"/>
      <c r="B143" s="89"/>
      <c r="C143" s="90"/>
      <c r="D143" s="89"/>
      <c r="E143" s="59" t="s">
        <v>348</v>
      </c>
      <c r="F143" s="89"/>
      <c r="G143" s="90"/>
      <c r="H143" s="89"/>
      <c r="I143" s="90"/>
      <c r="J143" s="90"/>
    </row>
    <row r="144" spans="1:10">
      <c r="A144" s="88"/>
      <c r="B144" s="89"/>
      <c r="C144" s="90"/>
      <c r="D144" s="89"/>
      <c r="E144" s="59" t="s">
        <v>349</v>
      </c>
      <c r="F144" s="89"/>
      <c r="G144" s="90"/>
      <c r="H144" s="89"/>
      <c r="I144" s="90"/>
      <c r="J144" s="90"/>
    </row>
    <row r="145" spans="1:10" ht="22.5">
      <c r="A145" s="88"/>
      <c r="B145" s="89"/>
      <c r="C145" s="90"/>
      <c r="D145" s="89"/>
      <c r="E145" s="59" t="s">
        <v>350</v>
      </c>
      <c r="F145" s="89"/>
      <c r="G145" s="90"/>
      <c r="H145" s="89"/>
      <c r="I145" s="90"/>
      <c r="J145" s="90"/>
    </row>
    <row r="146" spans="1:10">
      <c r="A146" s="82" t="s">
        <v>58</v>
      </c>
      <c r="B146" s="84"/>
      <c r="C146" s="86">
        <v>175</v>
      </c>
      <c r="D146" s="84"/>
      <c r="E146" s="61" t="s">
        <v>230</v>
      </c>
      <c r="F146" s="84"/>
      <c r="G146" s="86" t="s">
        <v>351</v>
      </c>
      <c r="H146" s="84"/>
      <c r="I146" s="86" t="s">
        <v>197</v>
      </c>
      <c r="J146" s="86"/>
    </row>
    <row r="147" spans="1:10">
      <c r="A147" s="82"/>
      <c r="B147" s="84"/>
      <c r="C147" s="86"/>
      <c r="D147" s="84"/>
      <c r="E147" s="61" t="s">
        <v>258</v>
      </c>
      <c r="F147" s="84"/>
      <c r="G147" s="86"/>
      <c r="H147" s="84"/>
      <c r="I147" s="86"/>
      <c r="J147" s="86"/>
    </row>
    <row r="148" spans="1:10">
      <c r="A148" s="82"/>
      <c r="B148" s="84"/>
      <c r="C148" s="86"/>
      <c r="D148" s="84"/>
      <c r="E148" s="61" t="s">
        <v>352</v>
      </c>
      <c r="F148" s="84"/>
      <c r="G148" s="86"/>
      <c r="H148" s="84"/>
      <c r="I148" s="86"/>
      <c r="J148" s="86"/>
    </row>
    <row r="149" spans="1:10" ht="15.75" thickBot="1">
      <c r="A149" s="83"/>
      <c r="B149" s="85"/>
      <c r="C149" s="87"/>
      <c r="D149" s="85"/>
      <c r="E149" s="74" t="s">
        <v>353</v>
      </c>
      <c r="F149" s="85"/>
      <c r="G149" s="87"/>
      <c r="H149" s="85"/>
      <c r="I149" s="87"/>
      <c r="J149" s="86"/>
    </row>
    <row r="150" spans="1:10">
      <c r="A150" s="80" t="s">
        <v>354</v>
      </c>
      <c r="B150" s="80"/>
      <c r="C150" s="80"/>
      <c r="D150" s="80"/>
      <c r="E150" s="80"/>
      <c r="F150" s="80"/>
      <c r="G150" s="80"/>
      <c r="H150" s="80"/>
      <c r="I150" s="80"/>
      <c r="J150" s="80"/>
    </row>
    <row r="151" spans="1:10">
      <c r="A151" s="79" t="s">
        <v>355</v>
      </c>
      <c r="B151" s="79"/>
      <c r="C151" s="79"/>
      <c r="D151" s="79"/>
      <c r="E151" s="79"/>
      <c r="F151" s="79"/>
      <c r="G151" s="79"/>
      <c r="H151" s="79"/>
      <c r="I151" s="79"/>
      <c r="J151" s="79"/>
    </row>
    <row r="152" spans="1:10" ht="22.5" customHeight="1">
      <c r="A152" s="79" t="s">
        <v>356</v>
      </c>
      <c r="B152" s="79"/>
      <c r="C152" s="79"/>
      <c r="D152" s="79"/>
      <c r="E152" s="79"/>
      <c r="F152" s="79"/>
      <c r="G152" s="79"/>
      <c r="H152" s="79"/>
      <c r="I152" s="79"/>
      <c r="J152" s="79"/>
    </row>
    <row r="153" spans="1:10" ht="30" customHeight="1">
      <c r="A153" s="81" t="s">
        <v>357</v>
      </c>
      <c r="B153" s="81"/>
      <c r="C153" s="81"/>
      <c r="D153" s="81"/>
      <c r="E153" s="81"/>
      <c r="F153" s="81"/>
      <c r="G153" s="81"/>
      <c r="H153" s="81"/>
      <c r="I153" s="81"/>
      <c r="J153" s="81"/>
    </row>
    <row r="154" spans="1:10">
      <c r="A154" s="79" t="s">
        <v>358</v>
      </c>
      <c r="B154" s="79"/>
      <c r="C154" s="79"/>
      <c r="D154" s="79"/>
      <c r="E154" s="79"/>
      <c r="F154" s="79"/>
      <c r="G154" s="79"/>
      <c r="H154" s="79"/>
      <c r="I154" s="79"/>
      <c r="J154" s="79"/>
    </row>
    <row r="155" spans="1:10">
      <c r="A155" s="79" t="s">
        <v>359</v>
      </c>
      <c r="B155" s="79"/>
      <c r="C155" s="79"/>
      <c r="D155" s="79"/>
      <c r="E155" s="79"/>
      <c r="F155" s="79"/>
      <c r="G155" s="79"/>
      <c r="H155" s="79"/>
      <c r="I155" s="79"/>
      <c r="J155" s="79"/>
    </row>
    <row r="156" spans="1:10">
      <c r="A156" s="79" t="s">
        <v>360</v>
      </c>
      <c r="B156" s="79"/>
      <c r="C156" s="79"/>
      <c r="D156" s="79"/>
      <c r="E156" s="79"/>
      <c r="F156" s="79"/>
      <c r="G156" s="79"/>
      <c r="H156" s="79"/>
      <c r="I156" s="79"/>
      <c r="J156" s="79"/>
    </row>
    <row r="157" spans="1:10">
      <c r="A157" s="79" t="s">
        <v>361</v>
      </c>
      <c r="B157" s="79"/>
      <c r="C157" s="79"/>
      <c r="D157" s="79"/>
      <c r="E157" s="79"/>
      <c r="F157" s="79"/>
      <c r="G157" s="79"/>
      <c r="H157" s="79"/>
      <c r="I157" s="79"/>
      <c r="J157" s="79"/>
    </row>
    <row r="158" spans="1:10" ht="22.5" customHeight="1">
      <c r="A158" s="79" t="s">
        <v>362</v>
      </c>
      <c r="B158" s="79"/>
      <c r="C158" s="79"/>
      <c r="D158" s="79"/>
      <c r="E158" s="79"/>
      <c r="F158" s="79"/>
      <c r="G158" s="79"/>
      <c r="H158" s="79"/>
      <c r="I158" s="79"/>
      <c r="J158" s="79"/>
    </row>
    <row r="159" spans="1:10">
      <c r="A159" s="79" t="s">
        <v>363</v>
      </c>
      <c r="B159" s="79"/>
      <c r="C159" s="79"/>
      <c r="D159" s="79"/>
      <c r="E159" s="79"/>
      <c r="F159" s="79"/>
      <c r="G159" s="79"/>
      <c r="H159" s="79"/>
      <c r="I159" s="79"/>
      <c r="J159" s="79"/>
    </row>
    <row r="160" spans="1:10" ht="22.5" customHeight="1">
      <c r="A160" s="79" t="s">
        <v>364</v>
      </c>
      <c r="B160" s="79"/>
      <c r="C160" s="79"/>
      <c r="D160" s="79"/>
      <c r="E160" s="79"/>
      <c r="F160" s="79"/>
      <c r="G160" s="79"/>
      <c r="H160" s="79"/>
      <c r="I160" s="79"/>
      <c r="J160" s="79"/>
    </row>
    <row r="161" spans="1:10">
      <c r="A161" s="79" t="s">
        <v>365</v>
      </c>
      <c r="B161" s="79"/>
      <c r="C161" s="79"/>
      <c r="D161" s="79"/>
      <c r="E161" s="79"/>
      <c r="F161" s="79"/>
      <c r="G161" s="79"/>
      <c r="H161" s="79"/>
      <c r="I161" s="79"/>
      <c r="J161" s="79"/>
    </row>
    <row r="162" spans="1:10" ht="22.5" customHeight="1">
      <c r="A162" s="79" t="s">
        <v>366</v>
      </c>
      <c r="B162" s="79"/>
      <c r="C162" s="79"/>
      <c r="D162" s="79"/>
      <c r="E162" s="79"/>
      <c r="F162" s="79"/>
      <c r="G162" s="79"/>
      <c r="H162" s="79"/>
      <c r="I162" s="79"/>
      <c r="J162" s="79"/>
    </row>
    <row r="163" spans="1:10">
      <c r="A163" s="79" t="s">
        <v>367</v>
      </c>
      <c r="B163" s="79"/>
      <c r="C163" s="79"/>
      <c r="D163" s="79"/>
      <c r="E163" s="79"/>
      <c r="F163" s="79"/>
      <c r="G163" s="79"/>
      <c r="H163" s="79"/>
      <c r="I163" s="79"/>
      <c r="J163" s="79"/>
    </row>
    <row r="164" spans="1:10">
      <c r="A164" s="79" t="s">
        <v>368</v>
      </c>
      <c r="B164" s="79"/>
      <c r="C164" s="79"/>
      <c r="D164" s="79"/>
      <c r="E164" s="79"/>
      <c r="F164" s="79"/>
      <c r="G164" s="79"/>
      <c r="H164" s="79"/>
      <c r="I164" s="79"/>
      <c r="J164" s="79"/>
    </row>
    <row r="165" spans="1:10">
      <c r="A165" s="79" t="s">
        <v>369</v>
      </c>
      <c r="B165" s="79"/>
      <c r="C165" s="79"/>
      <c r="D165" s="79"/>
      <c r="E165" s="79"/>
      <c r="F165" s="79"/>
      <c r="G165" s="79"/>
      <c r="H165" s="79"/>
      <c r="I165" s="79"/>
      <c r="J165" s="79"/>
    </row>
    <row r="166" spans="1:10" ht="22.5" customHeight="1">
      <c r="A166" s="79" t="s">
        <v>370</v>
      </c>
      <c r="B166" s="79"/>
      <c r="C166" s="79"/>
      <c r="D166" s="79"/>
      <c r="E166" s="79"/>
      <c r="F166" s="79"/>
      <c r="G166" s="79"/>
      <c r="H166" s="79"/>
      <c r="I166" s="79"/>
      <c r="J166" s="79"/>
    </row>
    <row r="167" spans="1:10" ht="33.75" customHeight="1">
      <c r="A167" s="79" t="s">
        <v>371</v>
      </c>
      <c r="B167" s="79"/>
      <c r="C167" s="79"/>
      <c r="D167" s="79"/>
      <c r="E167" s="79"/>
      <c r="F167" s="79"/>
      <c r="G167" s="79"/>
      <c r="H167" s="79"/>
      <c r="I167" s="79"/>
      <c r="J167" s="79"/>
    </row>
    <row r="168" spans="1:10">
      <c r="A168" s="79" t="s">
        <v>372</v>
      </c>
      <c r="B168" s="79"/>
      <c r="C168" s="79"/>
      <c r="D168" s="79"/>
      <c r="E168" s="79"/>
      <c r="F168" s="79"/>
      <c r="G168" s="79"/>
      <c r="H168" s="79"/>
      <c r="I168" s="79"/>
      <c r="J168" s="79"/>
    </row>
    <row r="169" spans="1:10" ht="33.75" customHeight="1">
      <c r="A169" s="79" t="s">
        <v>373</v>
      </c>
      <c r="B169" s="79"/>
      <c r="C169" s="79"/>
      <c r="D169" s="79"/>
      <c r="E169" s="79"/>
      <c r="F169" s="79"/>
      <c r="G169" s="79"/>
      <c r="H169" s="79"/>
      <c r="I169" s="79"/>
      <c r="J169" s="79"/>
    </row>
    <row r="170" spans="1:10">
      <c r="A170" s="79" t="s">
        <v>374</v>
      </c>
      <c r="B170" s="79"/>
      <c r="C170" s="79"/>
      <c r="D170" s="79"/>
      <c r="E170" s="79"/>
      <c r="F170" s="79"/>
      <c r="G170" s="79"/>
      <c r="H170" s="79"/>
      <c r="I170" s="79"/>
      <c r="J170" s="79"/>
    </row>
    <row r="171" spans="1:10">
      <c r="A171" s="79" t="s">
        <v>375</v>
      </c>
      <c r="B171" s="79"/>
      <c r="C171" s="79"/>
      <c r="D171" s="79"/>
      <c r="E171" s="79"/>
      <c r="F171" s="79"/>
      <c r="G171" s="79"/>
      <c r="H171" s="79"/>
      <c r="I171" s="79"/>
      <c r="J171" s="79"/>
    </row>
    <row r="172" spans="1:10" ht="33.75" customHeight="1">
      <c r="A172" s="79" t="s">
        <v>376</v>
      </c>
      <c r="B172" s="79"/>
      <c r="C172" s="79"/>
      <c r="D172" s="79"/>
      <c r="E172" s="79"/>
      <c r="F172" s="79"/>
      <c r="G172" s="79"/>
      <c r="H172" s="79"/>
      <c r="I172" s="79"/>
      <c r="J172" s="79"/>
    </row>
    <row r="173" spans="1:10" ht="22.5" customHeight="1">
      <c r="A173" s="78" t="s">
        <v>377</v>
      </c>
      <c r="B173" s="78"/>
      <c r="C173" s="78"/>
      <c r="D173" s="78"/>
      <c r="E173" s="78"/>
      <c r="F173" s="78"/>
      <c r="G173" s="78"/>
      <c r="H173" s="78"/>
      <c r="I173" s="78"/>
      <c r="J173" s="78"/>
    </row>
    <row r="174" spans="1:10" ht="22.5" customHeight="1">
      <c r="A174" s="78" t="s">
        <v>378</v>
      </c>
      <c r="B174" s="78"/>
      <c r="C174" s="78"/>
      <c r="D174" s="78"/>
      <c r="E174" s="78"/>
      <c r="F174" s="78"/>
      <c r="G174" s="78"/>
      <c r="H174" s="78"/>
      <c r="I174" s="78"/>
      <c r="J174" s="78"/>
    </row>
  </sheetData>
  <mergeCells count="410">
    <mergeCell ref="H6:H8"/>
    <mergeCell ref="I6:I8"/>
    <mergeCell ref="J6:J8"/>
    <mergeCell ref="H9:H12"/>
    <mergeCell ref="I9:I12"/>
    <mergeCell ref="J9:J12"/>
    <mergeCell ref="H1:H3"/>
    <mergeCell ref="J1:J3"/>
    <mergeCell ref="A4:A5"/>
    <mergeCell ref="B4:B5"/>
    <mergeCell ref="C4:C5"/>
    <mergeCell ref="D4:D5"/>
    <mergeCell ref="E4:E5"/>
    <mergeCell ref="F4:F5"/>
    <mergeCell ref="H4:H5"/>
    <mergeCell ref="I4:I5"/>
    <mergeCell ref="A1:A3"/>
    <mergeCell ref="B1:B3"/>
    <mergeCell ref="C1:E1"/>
    <mergeCell ref="C2:E2"/>
    <mergeCell ref="F1:F3"/>
    <mergeCell ref="G1:G3"/>
    <mergeCell ref="J4:J5"/>
    <mergeCell ref="A9:A12"/>
    <mergeCell ref="B9:B12"/>
    <mergeCell ref="C9:C12"/>
    <mergeCell ref="D9:D12"/>
    <mergeCell ref="F9:F12"/>
    <mergeCell ref="G9:G12"/>
    <mergeCell ref="A6:A8"/>
    <mergeCell ref="B6:B8"/>
    <mergeCell ref="C6:C8"/>
    <mergeCell ref="D6:D8"/>
    <mergeCell ref="F6:F8"/>
    <mergeCell ref="I13:I14"/>
    <mergeCell ref="J13:J14"/>
    <mergeCell ref="A15:A18"/>
    <mergeCell ref="B15:B18"/>
    <mergeCell ref="C15:C18"/>
    <mergeCell ref="D15:D18"/>
    <mergeCell ref="F15:F18"/>
    <mergeCell ref="H15:H18"/>
    <mergeCell ref="I15:I18"/>
    <mergeCell ref="J15:J18"/>
    <mergeCell ref="A13:A14"/>
    <mergeCell ref="B13:B14"/>
    <mergeCell ref="C13:C14"/>
    <mergeCell ref="D13:D14"/>
    <mergeCell ref="E13:E14"/>
    <mergeCell ref="F13:F14"/>
    <mergeCell ref="H13:H14"/>
    <mergeCell ref="A23:A25"/>
    <mergeCell ref="B23:B25"/>
    <mergeCell ref="C23:C25"/>
    <mergeCell ref="D23:D25"/>
    <mergeCell ref="F23:F25"/>
    <mergeCell ref="G23:G25"/>
    <mergeCell ref="H23:H25"/>
    <mergeCell ref="A19:A22"/>
    <mergeCell ref="B19:B22"/>
    <mergeCell ref="C19:C22"/>
    <mergeCell ref="D19:D22"/>
    <mergeCell ref="F19:F22"/>
    <mergeCell ref="G19:G22"/>
    <mergeCell ref="H26:H27"/>
    <mergeCell ref="I26:I27"/>
    <mergeCell ref="J26:J27"/>
    <mergeCell ref="H29:H30"/>
    <mergeCell ref="I29:I30"/>
    <mergeCell ref="J29:J30"/>
    <mergeCell ref="H19:H22"/>
    <mergeCell ref="I19:I22"/>
    <mergeCell ref="J19:J22"/>
    <mergeCell ref="I23:I25"/>
    <mergeCell ref="J23:J25"/>
    <mergeCell ref="A29:A30"/>
    <mergeCell ref="B29:B30"/>
    <mergeCell ref="C29:C30"/>
    <mergeCell ref="D29:D30"/>
    <mergeCell ref="F29:F30"/>
    <mergeCell ref="G29:G30"/>
    <mergeCell ref="A26:A27"/>
    <mergeCell ref="B26:B27"/>
    <mergeCell ref="C26:C27"/>
    <mergeCell ref="D26:D27"/>
    <mergeCell ref="F26:F27"/>
    <mergeCell ref="I31:I33"/>
    <mergeCell ref="J31:J33"/>
    <mergeCell ref="A35:A39"/>
    <mergeCell ref="B35:B39"/>
    <mergeCell ref="C35:C39"/>
    <mergeCell ref="D35:D39"/>
    <mergeCell ref="F35:F39"/>
    <mergeCell ref="G35:G39"/>
    <mergeCell ref="H35:H39"/>
    <mergeCell ref="I35:I39"/>
    <mergeCell ref="J35:J39"/>
    <mergeCell ref="A31:A33"/>
    <mergeCell ref="B31:B33"/>
    <mergeCell ref="C31:C33"/>
    <mergeCell ref="D31:D33"/>
    <mergeCell ref="E31:E33"/>
    <mergeCell ref="F31:F33"/>
    <mergeCell ref="H31:H33"/>
    <mergeCell ref="A40:A42"/>
    <mergeCell ref="B40:B42"/>
    <mergeCell ref="C40:C42"/>
    <mergeCell ref="D40:D42"/>
    <mergeCell ref="E40:E42"/>
    <mergeCell ref="F40:F42"/>
    <mergeCell ref="H40:H42"/>
    <mergeCell ref="I40:I42"/>
    <mergeCell ref="J40:J42"/>
    <mergeCell ref="A46:A47"/>
    <mergeCell ref="B46:B47"/>
    <mergeCell ref="C46:C47"/>
    <mergeCell ref="D46:D47"/>
    <mergeCell ref="E46:E47"/>
    <mergeCell ref="F46:F47"/>
    <mergeCell ref="H46:H47"/>
    <mergeCell ref="A43:A45"/>
    <mergeCell ref="B43:B45"/>
    <mergeCell ref="C43:C45"/>
    <mergeCell ref="D43:D45"/>
    <mergeCell ref="E43:E45"/>
    <mergeCell ref="F43:F45"/>
    <mergeCell ref="G48:G50"/>
    <mergeCell ref="H48:H50"/>
    <mergeCell ref="I48:I50"/>
    <mergeCell ref="J48:J50"/>
    <mergeCell ref="H52:H53"/>
    <mergeCell ref="I52:I53"/>
    <mergeCell ref="J52:J53"/>
    <mergeCell ref="H43:H45"/>
    <mergeCell ref="I43:I45"/>
    <mergeCell ref="J43:J45"/>
    <mergeCell ref="I46:I47"/>
    <mergeCell ref="J46:J47"/>
    <mergeCell ref="A52:A53"/>
    <mergeCell ref="B52:B53"/>
    <mergeCell ref="C52:C53"/>
    <mergeCell ref="D52:D53"/>
    <mergeCell ref="E52:E53"/>
    <mergeCell ref="F52:F53"/>
    <mergeCell ref="A48:A50"/>
    <mergeCell ref="B48:B50"/>
    <mergeCell ref="D48:D50"/>
    <mergeCell ref="F48:F50"/>
    <mergeCell ref="I54:I55"/>
    <mergeCell ref="J54:J55"/>
    <mergeCell ref="A56:A57"/>
    <mergeCell ref="B56:B57"/>
    <mergeCell ref="C56:C57"/>
    <mergeCell ref="D56:D57"/>
    <mergeCell ref="F56:F57"/>
    <mergeCell ref="G56:G57"/>
    <mergeCell ref="H56:H57"/>
    <mergeCell ref="I56:I57"/>
    <mergeCell ref="J56:J57"/>
    <mergeCell ref="A54:A55"/>
    <mergeCell ref="B54:B55"/>
    <mergeCell ref="C54:C55"/>
    <mergeCell ref="D54:D55"/>
    <mergeCell ref="E54:E55"/>
    <mergeCell ref="F54:F55"/>
    <mergeCell ref="H54:H55"/>
    <mergeCell ref="A58:A61"/>
    <mergeCell ref="B58:B61"/>
    <mergeCell ref="C58:C61"/>
    <mergeCell ref="D58:D61"/>
    <mergeCell ref="F58:F61"/>
    <mergeCell ref="G58:G61"/>
    <mergeCell ref="H58:H61"/>
    <mergeCell ref="I58:I61"/>
    <mergeCell ref="J58:J61"/>
    <mergeCell ref="H63:H66"/>
    <mergeCell ref="I63:I66"/>
    <mergeCell ref="J63:J66"/>
    <mergeCell ref="A68:A69"/>
    <mergeCell ref="B68:B69"/>
    <mergeCell ref="C68:C69"/>
    <mergeCell ref="D68:D69"/>
    <mergeCell ref="F68:F69"/>
    <mergeCell ref="G68:G69"/>
    <mergeCell ref="H68:H69"/>
    <mergeCell ref="A63:A66"/>
    <mergeCell ref="B63:B66"/>
    <mergeCell ref="C63:C66"/>
    <mergeCell ref="D63:D66"/>
    <mergeCell ref="F63:F66"/>
    <mergeCell ref="G63:G66"/>
    <mergeCell ref="I68:I69"/>
    <mergeCell ref="J68:J69"/>
    <mergeCell ref="A70:A73"/>
    <mergeCell ref="B70:B73"/>
    <mergeCell ref="C70:C73"/>
    <mergeCell ref="D70:D73"/>
    <mergeCell ref="F70:F73"/>
    <mergeCell ref="G70:G73"/>
    <mergeCell ref="H70:H73"/>
    <mergeCell ref="I70:I73"/>
    <mergeCell ref="J70:J73"/>
    <mergeCell ref="A74:A76"/>
    <mergeCell ref="B74:B76"/>
    <mergeCell ref="C74:C76"/>
    <mergeCell ref="D74:D76"/>
    <mergeCell ref="F74:F76"/>
    <mergeCell ref="G74:G76"/>
    <mergeCell ref="H74:H76"/>
    <mergeCell ref="I74:I76"/>
    <mergeCell ref="J74:J76"/>
    <mergeCell ref="H77:H81"/>
    <mergeCell ref="I77:I81"/>
    <mergeCell ref="J77:J81"/>
    <mergeCell ref="A82:A84"/>
    <mergeCell ref="B82:B84"/>
    <mergeCell ref="C82:C84"/>
    <mergeCell ref="D82:D84"/>
    <mergeCell ref="F82:F84"/>
    <mergeCell ref="G82:G84"/>
    <mergeCell ref="H82:H84"/>
    <mergeCell ref="A77:A81"/>
    <mergeCell ref="B77:B81"/>
    <mergeCell ref="C77:C81"/>
    <mergeCell ref="D77:D81"/>
    <mergeCell ref="E77:E81"/>
    <mergeCell ref="F77:F81"/>
    <mergeCell ref="I82:I84"/>
    <mergeCell ref="J82:J84"/>
    <mergeCell ref="A85:A86"/>
    <mergeCell ref="B85:B86"/>
    <mergeCell ref="C85:C86"/>
    <mergeCell ref="D85:D86"/>
    <mergeCell ref="E85:E86"/>
    <mergeCell ref="F85:F86"/>
    <mergeCell ref="H85:H86"/>
    <mergeCell ref="I85:I86"/>
    <mergeCell ref="J85:J86"/>
    <mergeCell ref="A87:A91"/>
    <mergeCell ref="B87:B91"/>
    <mergeCell ref="C87:C91"/>
    <mergeCell ref="D87:D91"/>
    <mergeCell ref="F87:F91"/>
    <mergeCell ref="H87:H91"/>
    <mergeCell ref="I87:I91"/>
    <mergeCell ref="J87:J91"/>
    <mergeCell ref="I92:I96"/>
    <mergeCell ref="J92:J96"/>
    <mergeCell ref="A98:A102"/>
    <mergeCell ref="B98:B102"/>
    <mergeCell ref="C98:C102"/>
    <mergeCell ref="D98:D102"/>
    <mergeCell ref="F98:F102"/>
    <mergeCell ref="H98:H102"/>
    <mergeCell ref="I98:I102"/>
    <mergeCell ref="J98:J102"/>
    <mergeCell ref="A92:A96"/>
    <mergeCell ref="B92:B96"/>
    <mergeCell ref="C92:C96"/>
    <mergeCell ref="D92:D96"/>
    <mergeCell ref="F92:F96"/>
    <mergeCell ref="H92:H96"/>
    <mergeCell ref="A109:A114"/>
    <mergeCell ref="B109:B114"/>
    <mergeCell ref="C109:C114"/>
    <mergeCell ref="D109:D114"/>
    <mergeCell ref="F109:F114"/>
    <mergeCell ref="G109:G114"/>
    <mergeCell ref="H109:H114"/>
    <mergeCell ref="A103:A107"/>
    <mergeCell ref="B103:B107"/>
    <mergeCell ref="C103:C107"/>
    <mergeCell ref="D103:D107"/>
    <mergeCell ref="F103:F107"/>
    <mergeCell ref="G103:G107"/>
    <mergeCell ref="H115:H117"/>
    <mergeCell ref="I115:I117"/>
    <mergeCell ref="J115:J117"/>
    <mergeCell ref="H118:H119"/>
    <mergeCell ref="I118:I119"/>
    <mergeCell ref="J118:J119"/>
    <mergeCell ref="H103:H107"/>
    <mergeCell ref="I103:I107"/>
    <mergeCell ref="J103:J107"/>
    <mergeCell ref="I109:I114"/>
    <mergeCell ref="J109:J114"/>
    <mergeCell ref="A118:A119"/>
    <mergeCell ref="B118:B119"/>
    <mergeCell ref="C118:C119"/>
    <mergeCell ref="D118:D119"/>
    <mergeCell ref="E118:E119"/>
    <mergeCell ref="F118:F119"/>
    <mergeCell ref="A115:A117"/>
    <mergeCell ref="B115:B117"/>
    <mergeCell ref="C115:C117"/>
    <mergeCell ref="D115:D117"/>
    <mergeCell ref="F115:F117"/>
    <mergeCell ref="I120:I121"/>
    <mergeCell ref="J120:J121"/>
    <mergeCell ref="A122:A125"/>
    <mergeCell ref="B122:B125"/>
    <mergeCell ref="C122:C125"/>
    <mergeCell ref="D122:D125"/>
    <mergeCell ref="F122:F125"/>
    <mergeCell ref="G122:G125"/>
    <mergeCell ref="H122:H125"/>
    <mergeCell ref="I122:I125"/>
    <mergeCell ref="J122:J125"/>
    <mergeCell ref="A120:A121"/>
    <mergeCell ref="B120:B121"/>
    <mergeCell ref="C120:C121"/>
    <mergeCell ref="D120:D121"/>
    <mergeCell ref="E120:E121"/>
    <mergeCell ref="F120:F121"/>
    <mergeCell ref="H120:H121"/>
    <mergeCell ref="A126:A127"/>
    <mergeCell ref="B126:B127"/>
    <mergeCell ref="C126:C127"/>
    <mergeCell ref="D126:D127"/>
    <mergeCell ref="E126:E127"/>
    <mergeCell ref="F126:F127"/>
    <mergeCell ref="H126:H127"/>
    <mergeCell ref="I126:I127"/>
    <mergeCell ref="J126:J127"/>
    <mergeCell ref="A130:A131"/>
    <mergeCell ref="B130:B131"/>
    <mergeCell ref="C130:C131"/>
    <mergeCell ref="D130:D131"/>
    <mergeCell ref="F130:F131"/>
    <mergeCell ref="H130:H131"/>
    <mergeCell ref="I130:I131"/>
    <mergeCell ref="A128:A129"/>
    <mergeCell ref="B128:B129"/>
    <mergeCell ref="C128:C129"/>
    <mergeCell ref="D128:D129"/>
    <mergeCell ref="F128:F129"/>
    <mergeCell ref="G128:G129"/>
    <mergeCell ref="H133:H135"/>
    <mergeCell ref="I133:I135"/>
    <mergeCell ref="J133:J135"/>
    <mergeCell ref="H136:H138"/>
    <mergeCell ref="I136:I138"/>
    <mergeCell ref="J136:J138"/>
    <mergeCell ref="H128:H129"/>
    <mergeCell ref="I128:I129"/>
    <mergeCell ref="J128:J129"/>
    <mergeCell ref="J130:J131"/>
    <mergeCell ref="A136:A138"/>
    <mergeCell ref="B136:B138"/>
    <mergeCell ref="C136:C138"/>
    <mergeCell ref="D136:D138"/>
    <mergeCell ref="F136:F138"/>
    <mergeCell ref="G136:G138"/>
    <mergeCell ref="A133:A135"/>
    <mergeCell ref="B133:B135"/>
    <mergeCell ref="C133:C135"/>
    <mergeCell ref="D133:D135"/>
    <mergeCell ref="F133:F135"/>
    <mergeCell ref="I139:I141"/>
    <mergeCell ref="J139:J141"/>
    <mergeCell ref="A142:A145"/>
    <mergeCell ref="B142:B145"/>
    <mergeCell ref="C142:C145"/>
    <mergeCell ref="D142:D145"/>
    <mergeCell ref="F142:F145"/>
    <mergeCell ref="G142:G145"/>
    <mergeCell ref="H142:H145"/>
    <mergeCell ref="I142:I145"/>
    <mergeCell ref="J142:J145"/>
    <mergeCell ref="A139:A141"/>
    <mergeCell ref="B139:B141"/>
    <mergeCell ref="C139:C141"/>
    <mergeCell ref="D139:D141"/>
    <mergeCell ref="E139:E141"/>
    <mergeCell ref="F139:F141"/>
    <mergeCell ref="H139:H141"/>
    <mergeCell ref="A146:A149"/>
    <mergeCell ref="B146:B149"/>
    <mergeCell ref="C146:C149"/>
    <mergeCell ref="D146:D149"/>
    <mergeCell ref="F146:F149"/>
    <mergeCell ref="G146:G149"/>
    <mergeCell ref="H146:H149"/>
    <mergeCell ref="I146:I149"/>
    <mergeCell ref="J146:J149"/>
    <mergeCell ref="A156:J156"/>
    <mergeCell ref="A157:J157"/>
    <mergeCell ref="A158:J158"/>
    <mergeCell ref="A159:J159"/>
    <mergeCell ref="A160:J160"/>
    <mergeCell ref="A161:J161"/>
    <mergeCell ref="A150:J150"/>
    <mergeCell ref="A151:J151"/>
    <mergeCell ref="A152:J152"/>
    <mergeCell ref="A153:J153"/>
    <mergeCell ref="A154:J154"/>
    <mergeCell ref="A155:J155"/>
    <mergeCell ref="A174:J174"/>
    <mergeCell ref="A168:J168"/>
    <mergeCell ref="A169:J169"/>
    <mergeCell ref="A170:J170"/>
    <mergeCell ref="A171:J171"/>
    <mergeCell ref="A172:J172"/>
    <mergeCell ref="A173:J173"/>
    <mergeCell ref="A162:J162"/>
    <mergeCell ref="A163:J163"/>
    <mergeCell ref="A164:J164"/>
    <mergeCell ref="A165:J165"/>
    <mergeCell ref="A166:J166"/>
    <mergeCell ref="A167:J167"/>
  </mergeCells>
  <hyperlinks>
    <hyperlink ref="A153" r:id="rId1" display="https://nces.ed.gov/transfer.asp?sec=true&amp;location=www.cde.ca.gov/fg/aa/pa/lcffitfaq.asp" xr:uid="{5A64AE3E-CFD7-49B9-B7B6-D30DA4F7E57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EC17-E770-4E9A-A910-570A09F30B49}">
  <dimension ref="A1:M95"/>
  <sheetViews>
    <sheetView topLeftCell="D1" workbookViewId="0">
      <pane ySplit="1" topLeftCell="A2" activePane="bottomLeft" state="frozen"/>
      <selection pane="bottomLeft" activeCell="F10" sqref="F10"/>
    </sheetView>
  </sheetViews>
  <sheetFormatPr defaultRowHeight="15"/>
  <cols>
    <col min="1" max="1" width="17" customWidth="1"/>
    <col min="2" max="2" width="21.5703125" customWidth="1"/>
    <col min="3" max="3" width="7.140625" customWidth="1"/>
    <col min="4" max="4" width="19.5703125" customWidth="1"/>
    <col min="6" max="6" width="24.42578125" customWidth="1"/>
    <col min="9" max="9" width="15.42578125" customWidth="1"/>
    <col min="12" max="12" width="19.28515625" customWidth="1"/>
  </cols>
  <sheetData>
    <row r="1" spans="1:13" ht="22.5">
      <c r="A1" s="84" t="s">
        <v>178</v>
      </c>
      <c r="B1" s="61" t="s">
        <v>379</v>
      </c>
      <c r="C1" s="84"/>
      <c r="D1" s="61" t="s">
        <v>380</v>
      </c>
      <c r="E1" s="84"/>
      <c r="F1" s="61" t="s">
        <v>381</v>
      </c>
      <c r="G1" s="86"/>
      <c r="H1" s="86"/>
      <c r="I1" s="61" t="s">
        <v>382</v>
      </c>
      <c r="J1" s="86"/>
      <c r="K1" s="86"/>
      <c r="L1" s="61" t="s">
        <v>383</v>
      </c>
      <c r="M1" s="86"/>
    </row>
    <row r="2" spans="1:13">
      <c r="A2" s="84"/>
      <c r="B2" s="61" t="s">
        <v>384</v>
      </c>
      <c r="C2" s="84"/>
      <c r="D2" s="61" t="s">
        <v>385</v>
      </c>
      <c r="E2" s="84"/>
      <c r="F2" s="61" t="s">
        <v>386</v>
      </c>
      <c r="G2" s="86"/>
      <c r="H2" s="86"/>
      <c r="I2" s="61" t="s">
        <v>386</v>
      </c>
      <c r="J2" s="86"/>
      <c r="K2" s="86"/>
      <c r="L2" s="61" t="s">
        <v>387</v>
      </c>
      <c r="M2" s="86"/>
    </row>
    <row r="3" spans="1:13">
      <c r="A3" s="84"/>
      <c r="B3" s="61"/>
      <c r="C3" s="84"/>
      <c r="D3" s="61"/>
      <c r="E3" s="84"/>
      <c r="F3" s="61" t="s">
        <v>388</v>
      </c>
      <c r="G3" s="86"/>
      <c r="H3" s="86"/>
      <c r="I3" s="61" t="s">
        <v>389</v>
      </c>
      <c r="J3" s="86"/>
      <c r="K3" s="86"/>
      <c r="L3" s="61" t="s">
        <v>390</v>
      </c>
      <c r="M3" s="86"/>
    </row>
    <row r="4" spans="1:13">
      <c r="A4" s="84"/>
      <c r="B4" s="61"/>
      <c r="C4" s="84"/>
      <c r="D4" s="61"/>
      <c r="E4" s="84"/>
      <c r="F4" s="61" t="s">
        <v>387</v>
      </c>
      <c r="G4" s="86"/>
      <c r="H4" s="86"/>
      <c r="I4" s="61" t="s">
        <v>387</v>
      </c>
      <c r="J4" s="86"/>
      <c r="K4" s="86"/>
      <c r="L4" s="61"/>
      <c r="M4" s="86"/>
    </row>
    <row r="5" spans="1:13" ht="15.75" thickBot="1">
      <c r="A5" s="85"/>
      <c r="B5" s="74"/>
      <c r="C5" s="85"/>
      <c r="D5" s="74"/>
      <c r="E5" s="85"/>
      <c r="F5" s="74" t="s">
        <v>391</v>
      </c>
      <c r="G5" s="87"/>
      <c r="H5" s="87"/>
      <c r="I5" s="74" t="s">
        <v>391</v>
      </c>
      <c r="J5" s="87"/>
      <c r="K5" s="87"/>
      <c r="L5" s="74"/>
      <c r="M5" s="87"/>
    </row>
    <row r="6" spans="1:13">
      <c r="A6" s="71" t="s">
        <v>392</v>
      </c>
      <c r="B6" s="59" t="s">
        <v>197</v>
      </c>
      <c r="C6" s="58"/>
      <c r="D6" s="59" t="s">
        <v>197</v>
      </c>
      <c r="E6" s="58"/>
      <c r="F6" s="59">
        <v>21</v>
      </c>
      <c r="G6" s="72">
        <v>1</v>
      </c>
      <c r="H6" s="58"/>
      <c r="I6" s="59">
        <v>25</v>
      </c>
      <c r="J6" s="72">
        <v>1</v>
      </c>
      <c r="K6" s="58"/>
      <c r="L6" s="59">
        <v>20</v>
      </c>
      <c r="M6" s="72">
        <v>1</v>
      </c>
    </row>
    <row r="7" spans="1:13">
      <c r="A7" s="64"/>
      <c r="B7" s="61"/>
      <c r="C7" s="60"/>
      <c r="D7" s="61"/>
      <c r="E7" s="60"/>
      <c r="F7" s="61"/>
      <c r="G7" s="60"/>
      <c r="H7" s="60"/>
      <c r="I7" s="61"/>
      <c r="J7" s="60"/>
      <c r="K7" s="60"/>
      <c r="L7" s="61"/>
      <c r="M7" s="60"/>
    </row>
    <row r="8" spans="1:13">
      <c r="A8" s="71" t="s">
        <v>5</v>
      </c>
      <c r="B8" s="59">
        <v>6</v>
      </c>
      <c r="C8" s="58"/>
      <c r="D8" s="59" t="s">
        <v>393</v>
      </c>
      <c r="E8" s="58"/>
      <c r="F8" s="59" t="s">
        <v>394</v>
      </c>
      <c r="G8" s="58"/>
      <c r="H8" s="58"/>
      <c r="I8" s="59" t="s">
        <v>395</v>
      </c>
      <c r="J8" s="59"/>
      <c r="K8" s="59"/>
      <c r="L8" s="59" t="s">
        <v>395</v>
      </c>
      <c r="M8" s="58"/>
    </row>
    <row r="9" spans="1:13">
      <c r="A9" s="64" t="s">
        <v>7</v>
      </c>
      <c r="B9" s="61">
        <v>7</v>
      </c>
      <c r="C9" s="60"/>
      <c r="D9" s="61" t="s">
        <v>393</v>
      </c>
      <c r="E9" s="60"/>
      <c r="F9" s="61" t="s">
        <v>395</v>
      </c>
      <c r="G9" s="60"/>
      <c r="H9" s="60"/>
      <c r="I9" s="61" t="s">
        <v>395</v>
      </c>
      <c r="J9" s="61"/>
      <c r="K9" s="61"/>
      <c r="L9" s="61" t="s">
        <v>395</v>
      </c>
      <c r="M9" s="60"/>
    </row>
    <row r="10" spans="1:13">
      <c r="A10" s="71" t="s">
        <v>8</v>
      </c>
      <c r="B10" s="59">
        <v>6</v>
      </c>
      <c r="C10" s="58"/>
      <c r="D10" s="59" t="s">
        <v>396</v>
      </c>
      <c r="E10" s="58"/>
      <c r="F10" s="59" t="s">
        <v>395</v>
      </c>
      <c r="G10" s="58"/>
      <c r="H10" s="58"/>
      <c r="I10" s="59" t="s">
        <v>394</v>
      </c>
      <c r="J10" s="59"/>
      <c r="K10" s="59"/>
      <c r="L10" s="59" t="s">
        <v>395</v>
      </c>
      <c r="M10" s="58"/>
    </row>
    <row r="11" spans="1:13">
      <c r="A11" s="64" t="s">
        <v>10</v>
      </c>
      <c r="B11" s="61">
        <v>5</v>
      </c>
      <c r="C11" s="60"/>
      <c r="D11" s="61" t="s">
        <v>397</v>
      </c>
      <c r="E11" s="60"/>
      <c r="F11" s="61" t="s">
        <v>394</v>
      </c>
      <c r="G11" s="60"/>
      <c r="H11" s="60"/>
      <c r="I11" s="61" t="s">
        <v>395</v>
      </c>
      <c r="J11" s="60"/>
      <c r="K11" s="60"/>
      <c r="L11" s="61" t="s">
        <v>394</v>
      </c>
      <c r="M11" s="60"/>
    </row>
    <row r="12" spans="1:13">
      <c r="A12" s="71" t="s">
        <v>12</v>
      </c>
      <c r="B12" s="59">
        <v>6</v>
      </c>
      <c r="C12" s="58"/>
      <c r="D12" s="59" t="s">
        <v>393</v>
      </c>
      <c r="E12" s="58"/>
      <c r="F12" s="59" t="s">
        <v>395</v>
      </c>
      <c r="G12" s="58"/>
      <c r="H12" s="58"/>
      <c r="I12" s="59" t="s">
        <v>394</v>
      </c>
      <c r="J12" s="58"/>
      <c r="K12" s="58"/>
      <c r="L12" s="59" t="s">
        <v>395</v>
      </c>
      <c r="M12" s="58"/>
    </row>
    <row r="13" spans="1:13">
      <c r="A13" s="64"/>
      <c r="B13" s="61"/>
      <c r="C13" s="60"/>
      <c r="D13" s="61"/>
      <c r="E13" s="60"/>
      <c r="F13" s="61"/>
      <c r="G13" s="60"/>
      <c r="H13" s="60"/>
      <c r="I13" s="61"/>
      <c r="J13" s="60"/>
      <c r="K13" s="60"/>
      <c r="L13" s="61"/>
      <c r="M13" s="60"/>
    </row>
    <row r="14" spans="1:13">
      <c r="A14" s="71" t="s">
        <v>13</v>
      </c>
      <c r="B14" s="59">
        <v>6</v>
      </c>
      <c r="C14" s="58"/>
      <c r="D14" s="59" t="s">
        <v>398</v>
      </c>
      <c r="E14" s="58"/>
      <c r="F14" s="59" t="s">
        <v>394</v>
      </c>
      <c r="G14" s="58"/>
      <c r="H14" s="58"/>
      <c r="I14" s="59" t="s">
        <v>395</v>
      </c>
      <c r="J14" s="58"/>
      <c r="K14" s="58"/>
      <c r="L14" s="59" t="s">
        <v>395</v>
      </c>
      <c r="M14" s="58"/>
    </row>
    <row r="15" spans="1:13">
      <c r="A15" s="64" t="s">
        <v>14</v>
      </c>
      <c r="B15" s="61">
        <v>5</v>
      </c>
      <c r="C15" s="60"/>
      <c r="D15" s="61" t="s">
        <v>399</v>
      </c>
      <c r="E15" s="60"/>
      <c r="F15" s="61" t="s">
        <v>395</v>
      </c>
      <c r="G15" s="60"/>
      <c r="H15" s="60"/>
      <c r="I15" s="61" t="s">
        <v>394</v>
      </c>
      <c r="J15" s="60"/>
      <c r="K15" s="60"/>
      <c r="L15" s="61" t="s">
        <v>394</v>
      </c>
      <c r="M15" s="60"/>
    </row>
    <row r="16" spans="1:13">
      <c r="A16" s="71" t="s">
        <v>15</v>
      </c>
      <c r="B16" s="59">
        <v>5</v>
      </c>
      <c r="C16" s="58"/>
      <c r="D16" s="59" t="s">
        <v>396</v>
      </c>
      <c r="E16" s="58"/>
      <c r="F16" s="59" t="s">
        <v>394</v>
      </c>
      <c r="G16" s="58"/>
      <c r="H16" s="58"/>
      <c r="I16" s="59" t="s">
        <v>395</v>
      </c>
      <c r="J16" s="58"/>
      <c r="K16" s="58"/>
      <c r="L16" s="59" t="s">
        <v>394</v>
      </c>
      <c r="M16" s="58"/>
    </row>
    <row r="17" spans="1:13">
      <c r="A17" s="64" t="s">
        <v>16</v>
      </c>
      <c r="B17" s="61">
        <v>5</v>
      </c>
      <c r="C17" s="60"/>
      <c r="D17" s="61" t="s">
        <v>400</v>
      </c>
      <c r="E17" s="60"/>
      <c r="F17" s="61" t="s">
        <v>394</v>
      </c>
      <c r="G17" s="60"/>
      <c r="H17" s="60"/>
      <c r="I17" s="61" t="s">
        <v>395</v>
      </c>
      <c r="J17" s="60"/>
      <c r="K17" s="60"/>
      <c r="L17" s="61" t="s">
        <v>394</v>
      </c>
      <c r="M17" s="60"/>
    </row>
    <row r="18" spans="1:13">
      <c r="A18" s="71" t="s">
        <v>17</v>
      </c>
      <c r="B18" s="59">
        <v>6</v>
      </c>
      <c r="C18" s="58"/>
      <c r="D18" s="59" t="s">
        <v>393</v>
      </c>
      <c r="E18" s="58"/>
      <c r="F18" s="59" t="s">
        <v>197</v>
      </c>
      <c r="G18" s="58"/>
      <c r="H18" s="58"/>
      <c r="I18" s="59" t="s">
        <v>197</v>
      </c>
      <c r="J18" s="58"/>
      <c r="K18" s="58"/>
      <c r="L18" s="59" t="s">
        <v>395</v>
      </c>
      <c r="M18" s="58"/>
    </row>
    <row r="19" spans="1:13">
      <c r="A19" s="64"/>
      <c r="B19" s="61"/>
      <c r="C19" s="60"/>
      <c r="D19" s="61"/>
      <c r="E19" s="60"/>
      <c r="F19" s="61"/>
      <c r="G19" s="60"/>
      <c r="H19" s="60"/>
      <c r="I19" s="61"/>
      <c r="J19" s="60"/>
      <c r="K19" s="60"/>
      <c r="L19" s="61"/>
      <c r="M19" s="60"/>
    </row>
    <row r="20" spans="1:13">
      <c r="A20" s="71" t="s">
        <v>18</v>
      </c>
      <c r="B20" s="59">
        <v>6</v>
      </c>
      <c r="C20" s="58"/>
      <c r="D20" s="59" t="s">
        <v>401</v>
      </c>
      <c r="E20" s="58"/>
      <c r="F20" s="59" t="s">
        <v>395</v>
      </c>
      <c r="G20" s="58"/>
      <c r="H20" s="58"/>
      <c r="I20" s="59" t="s">
        <v>394</v>
      </c>
      <c r="J20" s="58"/>
      <c r="K20" s="58"/>
      <c r="L20" s="59" t="s">
        <v>395</v>
      </c>
      <c r="M20" s="58"/>
    </row>
    <row r="21" spans="1:13">
      <c r="A21" s="64" t="s">
        <v>19</v>
      </c>
      <c r="B21" s="61">
        <v>5</v>
      </c>
      <c r="C21" s="60"/>
      <c r="D21" s="61" t="s">
        <v>402</v>
      </c>
      <c r="E21" s="60"/>
      <c r="F21" s="61" t="s">
        <v>394</v>
      </c>
      <c r="G21" s="60"/>
      <c r="H21" s="60"/>
      <c r="I21" s="61" t="s">
        <v>395</v>
      </c>
      <c r="J21" s="60"/>
      <c r="K21" s="60"/>
      <c r="L21" s="61" t="s">
        <v>394</v>
      </c>
      <c r="M21" s="60"/>
    </row>
    <row r="22" spans="1:13">
      <c r="A22" s="71" t="s">
        <v>20</v>
      </c>
      <c r="B22" s="59">
        <v>7</v>
      </c>
      <c r="C22" s="58"/>
      <c r="D22" s="59" t="s">
        <v>393</v>
      </c>
      <c r="E22" s="58"/>
      <c r="F22" s="59" t="s">
        <v>395</v>
      </c>
      <c r="G22" s="58"/>
      <c r="H22" s="58"/>
      <c r="I22" s="59" t="s">
        <v>395</v>
      </c>
      <c r="J22" s="58"/>
      <c r="K22" s="58"/>
      <c r="L22" s="59" t="s">
        <v>395</v>
      </c>
      <c r="M22" s="58"/>
    </row>
    <row r="23" spans="1:13">
      <c r="A23" s="64" t="s">
        <v>21</v>
      </c>
      <c r="B23" s="61">
        <v>6</v>
      </c>
      <c r="C23" s="60"/>
      <c r="D23" s="61" t="s">
        <v>393</v>
      </c>
      <c r="E23" s="60"/>
      <c r="F23" s="61" t="s">
        <v>394</v>
      </c>
      <c r="G23" s="66">
        <v>2</v>
      </c>
      <c r="H23" s="60"/>
      <c r="I23" s="61" t="s">
        <v>394</v>
      </c>
      <c r="J23" s="66">
        <v>2</v>
      </c>
      <c r="K23" s="60"/>
      <c r="L23" s="61" t="s">
        <v>395</v>
      </c>
      <c r="M23" s="60"/>
    </row>
    <row r="24" spans="1:13">
      <c r="A24" s="71" t="s">
        <v>22</v>
      </c>
      <c r="B24" s="59">
        <v>7</v>
      </c>
      <c r="C24" s="58"/>
      <c r="D24" s="59" t="s">
        <v>397</v>
      </c>
      <c r="E24" s="58"/>
      <c r="F24" s="59" t="s">
        <v>394</v>
      </c>
      <c r="G24" s="72">
        <v>2</v>
      </c>
      <c r="H24" s="58"/>
      <c r="I24" s="59" t="s">
        <v>394</v>
      </c>
      <c r="J24" s="72">
        <v>2</v>
      </c>
      <c r="K24" s="58"/>
      <c r="L24" s="59" t="s">
        <v>395</v>
      </c>
      <c r="M24" s="58"/>
    </row>
    <row r="25" spans="1:13">
      <c r="A25" s="64"/>
      <c r="B25" s="61"/>
      <c r="C25" s="60"/>
      <c r="D25" s="61"/>
      <c r="E25" s="60"/>
      <c r="F25" s="61"/>
      <c r="G25" s="60"/>
      <c r="H25" s="60"/>
      <c r="I25" s="61"/>
      <c r="J25" s="60"/>
      <c r="K25" s="60"/>
      <c r="L25" s="61"/>
      <c r="M25" s="60"/>
    </row>
    <row r="26" spans="1:13">
      <c r="A26" s="71" t="s">
        <v>23</v>
      </c>
      <c r="B26" s="59">
        <v>6</v>
      </c>
      <c r="C26" s="72">
        <v>3</v>
      </c>
      <c r="D26" s="59" t="s">
        <v>403</v>
      </c>
      <c r="E26" s="58"/>
      <c r="F26" s="59" t="s">
        <v>395</v>
      </c>
      <c r="G26" s="58"/>
      <c r="H26" s="58"/>
      <c r="I26" s="59" t="s">
        <v>394</v>
      </c>
      <c r="J26" s="58"/>
      <c r="K26" s="58"/>
      <c r="L26" s="59" t="s">
        <v>197</v>
      </c>
      <c r="M26" s="58"/>
    </row>
    <row r="27" spans="1:13">
      <c r="A27" s="64" t="s">
        <v>24</v>
      </c>
      <c r="B27" s="61">
        <v>7</v>
      </c>
      <c r="C27" s="60"/>
      <c r="D27" s="61" t="s">
        <v>396</v>
      </c>
      <c r="E27" s="60"/>
      <c r="F27" s="61" t="s">
        <v>395</v>
      </c>
      <c r="G27" s="60"/>
      <c r="H27" s="60"/>
      <c r="I27" s="61" t="s">
        <v>394</v>
      </c>
      <c r="J27" s="60"/>
      <c r="K27" s="60"/>
      <c r="L27" s="61" t="s">
        <v>197</v>
      </c>
      <c r="M27" s="60"/>
    </row>
    <row r="28" spans="1:13">
      <c r="A28" s="71" t="s">
        <v>25</v>
      </c>
      <c r="B28" s="59">
        <v>6</v>
      </c>
      <c r="C28" s="58"/>
      <c r="D28" s="59" t="s">
        <v>402</v>
      </c>
      <c r="E28" s="58"/>
      <c r="F28" s="59" t="s">
        <v>395</v>
      </c>
      <c r="G28" s="58"/>
      <c r="H28" s="58"/>
      <c r="I28" s="59" t="s">
        <v>394</v>
      </c>
      <c r="J28" s="58"/>
      <c r="K28" s="58"/>
      <c r="L28" s="59" t="s">
        <v>395</v>
      </c>
      <c r="M28" s="58"/>
    </row>
    <row r="29" spans="1:13">
      <c r="A29" s="64" t="s">
        <v>26</v>
      </c>
      <c r="B29" s="61">
        <v>7</v>
      </c>
      <c r="C29" s="60"/>
      <c r="D29" s="61" t="s">
        <v>404</v>
      </c>
      <c r="E29" s="60"/>
      <c r="F29" s="61" t="s">
        <v>394</v>
      </c>
      <c r="G29" s="60"/>
      <c r="H29" s="60"/>
      <c r="I29" s="61" t="s">
        <v>395</v>
      </c>
      <c r="J29" s="60"/>
      <c r="K29" s="60"/>
      <c r="L29" s="61" t="s">
        <v>394</v>
      </c>
      <c r="M29" s="66">
        <v>4</v>
      </c>
    </row>
    <row r="30" spans="1:13">
      <c r="A30" s="71" t="s">
        <v>27</v>
      </c>
      <c r="B30" s="59">
        <v>6</v>
      </c>
      <c r="C30" s="58"/>
      <c r="D30" s="59" t="s">
        <v>405</v>
      </c>
      <c r="E30" s="58"/>
      <c r="F30" s="59" t="s">
        <v>395</v>
      </c>
      <c r="G30" s="58"/>
      <c r="H30" s="58"/>
      <c r="I30" s="59" t="s">
        <v>394</v>
      </c>
      <c r="J30" s="58"/>
      <c r="K30" s="58"/>
      <c r="L30" s="59" t="s">
        <v>197</v>
      </c>
      <c r="M30" s="58"/>
    </row>
    <row r="31" spans="1:13">
      <c r="A31" s="64"/>
      <c r="B31" s="61"/>
      <c r="C31" s="60"/>
      <c r="D31" s="61"/>
      <c r="E31" s="60"/>
      <c r="F31" s="61"/>
      <c r="G31" s="60"/>
      <c r="H31" s="60"/>
      <c r="I31" s="61"/>
      <c r="J31" s="60"/>
      <c r="K31" s="60"/>
      <c r="L31" s="61"/>
      <c r="M31" s="60"/>
    </row>
    <row r="32" spans="1:13">
      <c r="A32" s="71" t="s">
        <v>28</v>
      </c>
      <c r="B32" s="59">
        <v>5</v>
      </c>
      <c r="C32" s="58"/>
      <c r="D32" s="59" t="s">
        <v>401</v>
      </c>
      <c r="E32" s="58"/>
      <c r="F32" s="59" t="s">
        <v>394</v>
      </c>
      <c r="G32" s="58"/>
      <c r="H32" s="58"/>
      <c r="I32" s="59" t="s">
        <v>395</v>
      </c>
      <c r="J32" s="58"/>
      <c r="K32" s="58"/>
      <c r="L32" s="59" t="s">
        <v>394</v>
      </c>
      <c r="M32" s="58"/>
    </row>
    <row r="33" spans="1:13">
      <c r="A33" s="82" t="s">
        <v>29</v>
      </c>
      <c r="B33" s="86">
        <v>6</v>
      </c>
      <c r="C33" s="84"/>
      <c r="D33" s="61" t="s">
        <v>406</v>
      </c>
      <c r="E33" s="84"/>
      <c r="F33" s="86" t="s">
        <v>395</v>
      </c>
      <c r="G33" s="84"/>
      <c r="H33" s="84"/>
      <c r="I33" s="86" t="s">
        <v>394</v>
      </c>
      <c r="J33" s="84"/>
      <c r="K33" s="84"/>
      <c r="L33" s="86" t="s">
        <v>197</v>
      </c>
      <c r="M33" s="84"/>
    </row>
    <row r="34" spans="1:13">
      <c r="A34" s="82"/>
      <c r="B34" s="86"/>
      <c r="C34" s="84"/>
      <c r="D34" s="61" t="s">
        <v>407</v>
      </c>
      <c r="E34" s="84"/>
      <c r="F34" s="86"/>
      <c r="G34" s="84"/>
      <c r="H34" s="84"/>
      <c r="I34" s="86"/>
      <c r="J34" s="84"/>
      <c r="K34" s="84"/>
      <c r="L34" s="86"/>
      <c r="M34" s="84"/>
    </row>
    <row r="35" spans="1:13">
      <c r="A35" s="82"/>
      <c r="B35" s="86"/>
      <c r="C35" s="84"/>
      <c r="D35" s="61" t="s">
        <v>408</v>
      </c>
      <c r="E35" s="84"/>
      <c r="F35" s="86"/>
      <c r="G35" s="84"/>
      <c r="H35" s="84"/>
      <c r="I35" s="86"/>
      <c r="J35" s="84"/>
      <c r="K35" s="84"/>
      <c r="L35" s="86"/>
      <c r="M35" s="84"/>
    </row>
    <row r="36" spans="1:13">
      <c r="A36" s="82"/>
      <c r="B36" s="86"/>
      <c r="C36" s="84"/>
      <c r="D36" s="61" t="s">
        <v>409</v>
      </c>
      <c r="E36" s="84"/>
      <c r="F36" s="86"/>
      <c r="G36" s="84"/>
      <c r="H36" s="84"/>
      <c r="I36" s="86"/>
      <c r="J36" s="84"/>
      <c r="K36" s="84"/>
      <c r="L36" s="86"/>
      <c r="M36" s="84"/>
    </row>
    <row r="37" spans="1:13">
      <c r="A37" s="82"/>
      <c r="B37" s="86"/>
      <c r="C37" s="84"/>
      <c r="D37" s="61" t="s">
        <v>410</v>
      </c>
      <c r="E37" s="84"/>
      <c r="F37" s="86"/>
      <c r="G37" s="84"/>
      <c r="H37" s="84"/>
      <c r="I37" s="86"/>
      <c r="J37" s="84"/>
      <c r="K37" s="84"/>
      <c r="L37" s="86"/>
      <c r="M37" s="84"/>
    </row>
    <row r="38" spans="1:13">
      <c r="A38" s="71" t="s">
        <v>30</v>
      </c>
      <c r="B38" s="59">
        <v>6</v>
      </c>
      <c r="C38" s="58"/>
      <c r="D38" s="59" t="s">
        <v>401</v>
      </c>
      <c r="E38" s="58"/>
      <c r="F38" s="59" t="s">
        <v>395</v>
      </c>
      <c r="G38" s="58"/>
      <c r="H38" s="58"/>
      <c r="I38" s="59" t="s">
        <v>395</v>
      </c>
      <c r="J38" s="58"/>
      <c r="K38" s="58"/>
      <c r="L38" s="59" t="s">
        <v>395</v>
      </c>
      <c r="M38" s="58"/>
    </row>
    <row r="39" spans="1:13">
      <c r="A39" s="64" t="s">
        <v>31</v>
      </c>
      <c r="B39" s="61">
        <v>7</v>
      </c>
      <c r="C39" s="60"/>
      <c r="D39" s="61" t="s">
        <v>393</v>
      </c>
      <c r="E39" s="60"/>
      <c r="F39" s="61" t="s">
        <v>395</v>
      </c>
      <c r="G39" s="60"/>
      <c r="H39" s="60"/>
      <c r="I39" s="61" t="s">
        <v>395</v>
      </c>
      <c r="J39" s="60"/>
      <c r="K39" s="60"/>
      <c r="L39" s="61" t="s">
        <v>395</v>
      </c>
      <c r="M39" s="60"/>
    </row>
    <row r="40" spans="1:13">
      <c r="A40" s="71" t="s">
        <v>32</v>
      </c>
      <c r="B40" s="59">
        <v>6</v>
      </c>
      <c r="C40" s="58"/>
      <c r="D40" s="59" t="s">
        <v>393</v>
      </c>
      <c r="E40" s="58"/>
      <c r="F40" s="59" t="s">
        <v>394</v>
      </c>
      <c r="G40" s="58"/>
      <c r="H40" s="58"/>
      <c r="I40" s="59" t="s">
        <v>395</v>
      </c>
      <c r="J40" s="58"/>
      <c r="K40" s="58"/>
      <c r="L40" s="59" t="s">
        <v>197</v>
      </c>
      <c r="M40" s="58"/>
    </row>
    <row r="41" spans="1:13">
      <c r="A41" s="64"/>
      <c r="B41" s="61"/>
      <c r="C41" s="60"/>
      <c r="D41" s="61"/>
      <c r="E41" s="60"/>
      <c r="F41" s="61"/>
      <c r="G41" s="60"/>
      <c r="H41" s="60"/>
      <c r="I41" s="61"/>
      <c r="J41" s="60"/>
      <c r="K41" s="60"/>
      <c r="L41" s="61"/>
      <c r="M41" s="60"/>
    </row>
    <row r="42" spans="1:13">
      <c r="A42" s="71" t="s">
        <v>33</v>
      </c>
      <c r="B42" s="59">
        <v>7</v>
      </c>
      <c r="C42" s="72">
        <v>5</v>
      </c>
      <c r="D42" s="59" t="s">
        <v>402</v>
      </c>
      <c r="E42" s="72">
        <v>6</v>
      </c>
      <c r="F42" s="59" t="s">
        <v>395</v>
      </c>
      <c r="G42" s="58"/>
      <c r="H42" s="58"/>
      <c r="I42" s="59" t="s">
        <v>394</v>
      </c>
      <c r="J42" s="58"/>
      <c r="K42" s="58"/>
      <c r="L42" s="59" t="s">
        <v>395</v>
      </c>
      <c r="M42" s="58"/>
    </row>
    <row r="43" spans="1:13">
      <c r="A43" s="64" t="s">
        <v>34</v>
      </c>
      <c r="B43" s="61">
        <v>7</v>
      </c>
      <c r="C43" s="60"/>
      <c r="D43" s="61" t="s">
        <v>411</v>
      </c>
      <c r="E43" s="60"/>
      <c r="F43" s="61" t="s">
        <v>394</v>
      </c>
      <c r="G43" s="66">
        <v>2</v>
      </c>
      <c r="H43" s="60"/>
      <c r="I43" s="61" t="s">
        <v>394</v>
      </c>
      <c r="J43" s="66">
        <v>2</v>
      </c>
      <c r="K43" s="60"/>
      <c r="L43" s="61" t="s">
        <v>395</v>
      </c>
      <c r="M43" s="60"/>
    </row>
    <row r="44" spans="1:13">
      <c r="A44" s="71" t="s">
        <v>35</v>
      </c>
      <c r="B44" s="59">
        <v>6</v>
      </c>
      <c r="C44" s="58"/>
      <c r="D44" s="59" t="s">
        <v>400</v>
      </c>
      <c r="E44" s="58"/>
      <c r="F44" s="59" t="s">
        <v>395</v>
      </c>
      <c r="G44" s="58"/>
      <c r="H44" s="58"/>
      <c r="I44" s="59" t="s">
        <v>394</v>
      </c>
      <c r="J44" s="58"/>
      <c r="K44" s="58"/>
      <c r="L44" s="59" t="s">
        <v>394</v>
      </c>
      <c r="M44" s="72">
        <v>7</v>
      </c>
    </row>
    <row r="45" spans="1:13">
      <c r="A45" s="64" t="s">
        <v>36</v>
      </c>
      <c r="B45" s="61">
        <v>7</v>
      </c>
      <c r="C45" s="60"/>
      <c r="D45" s="61" t="s">
        <v>400</v>
      </c>
      <c r="E45" s="60"/>
      <c r="F45" s="61" t="s">
        <v>395</v>
      </c>
      <c r="G45" s="60"/>
      <c r="H45" s="60"/>
      <c r="I45" s="61" t="s">
        <v>394</v>
      </c>
      <c r="J45" s="60"/>
      <c r="K45" s="60"/>
      <c r="L45" s="61" t="s">
        <v>394</v>
      </c>
      <c r="M45" s="60"/>
    </row>
    <row r="46" spans="1:13">
      <c r="A46" s="88" t="s">
        <v>37</v>
      </c>
      <c r="B46" s="90">
        <v>6</v>
      </c>
      <c r="C46" s="89"/>
      <c r="D46" s="59" t="s">
        <v>412</v>
      </c>
      <c r="E46" s="89"/>
      <c r="F46" s="90" t="s">
        <v>395</v>
      </c>
      <c r="G46" s="89"/>
      <c r="H46" s="89"/>
      <c r="I46" s="90" t="s">
        <v>395</v>
      </c>
      <c r="J46" s="89"/>
      <c r="K46" s="89"/>
      <c r="L46" s="90" t="s">
        <v>395</v>
      </c>
      <c r="M46" s="89"/>
    </row>
    <row r="47" spans="1:13">
      <c r="A47" s="88"/>
      <c r="B47" s="90"/>
      <c r="C47" s="89"/>
      <c r="D47" s="59" t="s">
        <v>413</v>
      </c>
      <c r="E47" s="89"/>
      <c r="F47" s="90"/>
      <c r="G47" s="89"/>
      <c r="H47" s="89"/>
      <c r="I47" s="90"/>
      <c r="J47" s="89"/>
      <c r="K47" s="89"/>
      <c r="L47" s="90"/>
      <c r="M47" s="89"/>
    </row>
    <row r="48" spans="1:13">
      <c r="A48" s="64"/>
      <c r="B48" s="61"/>
      <c r="C48" s="60"/>
      <c r="D48" s="61"/>
      <c r="E48" s="60"/>
      <c r="F48" s="61"/>
      <c r="G48" s="60"/>
      <c r="H48" s="60"/>
      <c r="I48" s="61"/>
      <c r="J48" s="60"/>
      <c r="K48" s="60"/>
      <c r="L48" s="61"/>
      <c r="M48" s="60"/>
    </row>
    <row r="49" spans="1:13">
      <c r="A49" s="88" t="s">
        <v>38</v>
      </c>
      <c r="B49" s="90">
        <v>6</v>
      </c>
      <c r="C49" s="89"/>
      <c r="D49" s="59" t="s">
        <v>414</v>
      </c>
      <c r="E49" s="92">
        <v>8</v>
      </c>
      <c r="F49" s="90" t="s">
        <v>395</v>
      </c>
      <c r="G49" s="89"/>
      <c r="H49" s="89"/>
      <c r="I49" s="90" t="s">
        <v>395</v>
      </c>
      <c r="J49" s="89"/>
      <c r="K49" s="89"/>
      <c r="L49" s="90" t="s">
        <v>395</v>
      </c>
      <c r="M49" s="92">
        <v>9</v>
      </c>
    </row>
    <row r="50" spans="1:13">
      <c r="A50" s="88"/>
      <c r="B50" s="90"/>
      <c r="C50" s="89"/>
      <c r="D50" s="59" t="s">
        <v>415</v>
      </c>
      <c r="E50" s="92"/>
      <c r="F50" s="90"/>
      <c r="G50" s="89"/>
      <c r="H50" s="89"/>
      <c r="I50" s="90"/>
      <c r="J50" s="89"/>
      <c r="K50" s="89"/>
      <c r="L50" s="90"/>
      <c r="M50" s="92"/>
    </row>
    <row r="51" spans="1:13">
      <c r="A51" s="64" t="s">
        <v>39</v>
      </c>
      <c r="B51" s="61">
        <v>5</v>
      </c>
      <c r="C51" s="60"/>
      <c r="D51" s="61" t="s">
        <v>393</v>
      </c>
      <c r="E51" s="60"/>
      <c r="F51" s="61" t="s">
        <v>395</v>
      </c>
      <c r="G51" s="60"/>
      <c r="H51" s="60"/>
      <c r="I51" s="61" t="s">
        <v>394</v>
      </c>
      <c r="J51" s="60"/>
      <c r="K51" s="60"/>
      <c r="L51" s="61" t="s">
        <v>394</v>
      </c>
      <c r="M51" s="60"/>
    </row>
    <row r="52" spans="1:13">
      <c r="A52" s="71" t="s">
        <v>40</v>
      </c>
      <c r="B52" s="59">
        <v>6</v>
      </c>
      <c r="C52" s="58"/>
      <c r="D52" s="59" t="s">
        <v>416</v>
      </c>
      <c r="E52" s="72">
        <v>10</v>
      </c>
      <c r="F52" s="59" t="s">
        <v>395</v>
      </c>
      <c r="G52" s="58"/>
      <c r="H52" s="58"/>
      <c r="I52" s="59" t="s">
        <v>395</v>
      </c>
      <c r="J52" s="58"/>
      <c r="K52" s="58"/>
      <c r="L52" s="59" t="s">
        <v>395</v>
      </c>
      <c r="M52" s="58"/>
    </row>
    <row r="53" spans="1:13">
      <c r="A53" s="64" t="s">
        <v>41</v>
      </c>
      <c r="B53" s="61">
        <v>7</v>
      </c>
      <c r="C53" s="60"/>
      <c r="D53" s="61" t="s">
        <v>396</v>
      </c>
      <c r="E53" s="60"/>
      <c r="F53" s="61" t="s">
        <v>394</v>
      </c>
      <c r="G53" s="60"/>
      <c r="H53" s="60"/>
      <c r="I53" s="61" t="s">
        <v>395</v>
      </c>
      <c r="J53" s="60"/>
      <c r="K53" s="60"/>
      <c r="L53" s="61" t="s">
        <v>395</v>
      </c>
      <c r="M53" s="66">
        <v>11</v>
      </c>
    </row>
    <row r="54" spans="1:13">
      <c r="A54" s="71" t="s">
        <v>42</v>
      </c>
      <c r="B54" s="59">
        <v>7</v>
      </c>
      <c r="C54" s="58"/>
      <c r="D54" s="59" t="s">
        <v>402</v>
      </c>
      <c r="E54" s="58"/>
      <c r="F54" s="59" t="s">
        <v>395</v>
      </c>
      <c r="G54" s="58"/>
      <c r="H54" s="58"/>
      <c r="I54" s="59" t="s">
        <v>394</v>
      </c>
      <c r="J54" s="58"/>
      <c r="K54" s="58"/>
      <c r="L54" s="59" t="s">
        <v>395</v>
      </c>
      <c r="M54" s="58"/>
    </row>
    <row r="55" spans="1:13">
      <c r="A55" s="64"/>
      <c r="B55" s="61"/>
      <c r="C55" s="60"/>
      <c r="D55" s="61"/>
      <c r="E55" s="60"/>
      <c r="F55" s="61"/>
      <c r="G55" s="60"/>
      <c r="H55" s="60"/>
      <c r="I55" s="61"/>
      <c r="J55" s="60"/>
      <c r="K55" s="60"/>
      <c r="L55" s="61"/>
      <c r="M55" s="60"/>
    </row>
    <row r="56" spans="1:13">
      <c r="A56" s="71" t="s">
        <v>43</v>
      </c>
      <c r="B56" s="59">
        <v>6</v>
      </c>
      <c r="C56" s="58"/>
      <c r="D56" s="59" t="s">
        <v>416</v>
      </c>
      <c r="E56" s="72">
        <v>12</v>
      </c>
      <c r="F56" s="59" t="s">
        <v>395</v>
      </c>
      <c r="G56" s="58"/>
      <c r="H56" s="58"/>
      <c r="I56" s="59" t="s">
        <v>394</v>
      </c>
      <c r="J56" s="58"/>
      <c r="K56" s="58"/>
      <c r="L56" s="59" t="s">
        <v>394</v>
      </c>
      <c r="M56" s="58"/>
    </row>
    <row r="57" spans="1:13">
      <c r="A57" s="64" t="s">
        <v>44</v>
      </c>
      <c r="B57" s="61">
        <v>5</v>
      </c>
      <c r="C57" s="60"/>
      <c r="D57" s="61" t="s">
        <v>393</v>
      </c>
      <c r="E57" s="60"/>
      <c r="F57" s="61" t="s">
        <v>394</v>
      </c>
      <c r="G57" s="60"/>
      <c r="H57" s="60"/>
      <c r="I57" s="61" t="s">
        <v>395</v>
      </c>
      <c r="J57" s="60"/>
      <c r="K57" s="60"/>
      <c r="L57" s="61" t="s">
        <v>394</v>
      </c>
      <c r="M57" s="66">
        <v>13</v>
      </c>
    </row>
    <row r="58" spans="1:13">
      <c r="A58" s="71" t="s">
        <v>45</v>
      </c>
      <c r="B58" s="59">
        <v>6</v>
      </c>
      <c r="C58" s="58"/>
      <c r="D58" s="59" t="s">
        <v>393</v>
      </c>
      <c r="E58" s="58"/>
      <c r="F58" s="59" t="s">
        <v>395</v>
      </c>
      <c r="G58" s="58"/>
      <c r="H58" s="58"/>
      <c r="I58" s="59" t="s">
        <v>394</v>
      </c>
      <c r="J58" s="58"/>
      <c r="K58" s="58"/>
      <c r="L58" s="59" t="s">
        <v>395</v>
      </c>
      <c r="M58" s="58"/>
    </row>
    <row r="59" spans="1:13">
      <c r="A59" s="64" t="s">
        <v>46</v>
      </c>
      <c r="B59" s="61">
        <v>6</v>
      </c>
      <c r="C59" s="60"/>
      <c r="D59" s="61" t="s">
        <v>416</v>
      </c>
      <c r="E59" s="66">
        <v>14</v>
      </c>
      <c r="F59" s="61" t="s">
        <v>395</v>
      </c>
      <c r="G59" s="60"/>
      <c r="H59" s="60"/>
      <c r="I59" s="61" t="s">
        <v>395</v>
      </c>
      <c r="J59" s="60"/>
      <c r="K59" s="60"/>
      <c r="L59" s="61" t="s">
        <v>394</v>
      </c>
      <c r="M59" s="60"/>
    </row>
    <row r="60" spans="1:13">
      <c r="A60" s="71" t="s">
        <v>47</v>
      </c>
      <c r="B60" s="59">
        <v>5</v>
      </c>
      <c r="C60" s="58"/>
      <c r="D60" s="59" t="s">
        <v>393</v>
      </c>
      <c r="E60" s="58"/>
      <c r="F60" s="59" t="s">
        <v>394</v>
      </c>
      <c r="G60" s="58"/>
      <c r="H60" s="58"/>
      <c r="I60" s="59" t="s">
        <v>395</v>
      </c>
      <c r="J60" s="58"/>
      <c r="K60" s="58"/>
      <c r="L60" s="59" t="s">
        <v>394</v>
      </c>
      <c r="M60" s="58"/>
    </row>
    <row r="61" spans="1:13">
      <c r="A61" s="64"/>
      <c r="B61" s="61"/>
      <c r="C61" s="60"/>
      <c r="D61" s="61"/>
      <c r="E61" s="60"/>
      <c r="F61" s="61"/>
      <c r="G61" s="60"/>
      <c r="H61" s="60"/>
      <c r="I61" s="61"/>
      <c r="J61" s="60"/>
      <c r="K61" s="60"/>
      <c r="L61" s="61"/>
      <c r="M61" s="60"/>
    </row>
    <row r="62" spans="1:13">
      <c r="A62" s="71" t="s">
        <v>48</v>
      </c>
      <c r="B62" s="59">
        <v>5</v>
      </c>
      <c r="C62" s="58"/>
      <c r="D62" s="59" t="s">
        <v>393</v>
      </c>
      <c r="E62" s="58"/>
      <c r="F62" s="59" t="s">
        <v>394</v>
      </c>
      <c r="G62" s="58"/>
      <c r="H62" s="58"/>
      <c r="I62" s="59" t="s">
        <v>395</v>
      </c>
      <c r="J62" s="58"/>
      <c r="K62" s="58"/>
      <c r="L62" s="59" t="s">
        <v>394</v>
      </c>
      <c r="M62" s="58"/>
    </row>
    <row r="63" spans="1:13">
      <c r="A63" s="64" t="s">
        <v>49</v>
      </c>
      <c r="B63" s="61">
        <v>5</v>
      </c>
      <c r="C63" s="60"/>
      <c r="D63" s="61" t="s">
        <v>393</v>
      </c>
      <c r="E63" s="60"/>
      <c r="F63" s="61" t="s">
        <v>395</v>
      </c>
      <c r="G63" s="60"/>
      <c r="H63" s="60"/>
      <c r="I63" s="61" t="s">
        <v>394</v>
      </c>
      <c r="J63" s="60"/>
      <c r="K63" s="60"/>
      <c r="L63" s="61" t="s">
        <v>394</v>
      </c>
      <c r="M63" s="60"/>
    </row>
    <row r="64" spans="1:13">
      <c r="A64" s="71" t="s">
        <v>50</v>
      </c>
      <c r="B64" s="59">
        <v>6</v>
      </c>
      <c r="C64" s="58"/>
      <c r="D64" s="59" t="s">
        <v>417</v>
      </c>
      <c r="E64" s="58"/>
      <c r="F64" s="59" t="s">
        <v>394</v>
      </c>
      <c r="G64" s="58"/>
      <c r="H64" s="58"/>
      <c r="I64" s="59" t="s">
        <v>395</v>
      </c>
      <c r="J64" s="58"/>
      <c r="K64" s="58"/>
      <c r="L64" s="59" t="s">
        <v>394</v>
      </c>
      <c r="M64" s="58"/>
    </row>
    <row r="65" spans="1:13">
      <c r="A65" s="64" t="s">
        <v>51</v>
      </c>
      <c r="B65" s="61">
        <v>6</v>
      </c>
      <c r="C65" s="60"/>
      <c r="D65" s="61" t="s">
        <v>393</v>
      </c>
      <c r="E65" s="60"/>
      <c r="F65" s="61" t="s">
        <v>394</v>
      </c>
      <c r="G65" s="66">
        <v>2</v>
      </c>
      <c r="H65" s="60"/>
      <c r="I65" s="61" t="s">
        <v>394</v>
      </c>
      <c r="J65" s="66">
        <v>2</v>
      </c>
      <c r="K65" s="60"/>
      <c r="L65" s="61" t="s">
        <v>395</v>
      </c>
      <c r="M65" s="60"/>
    </row>
    <row r="66" spans="1:13">
      <c r="A66" s="71" t="s">
        <v>52</v>
      </c>
      <c r="B66" s="59">
        <v>6</v>
      </c>
      <c r="C66" s="58"/>
      <c r="D66" s="59" t="s">
        <v>393</v>
      </c>
      <c r="E66" s="58"/>
      <c r="F66" s="59" t="s">
        <v>395</v>
      </c>
      <c r="G66" s="58"/>
      <c r="H66" s="58"/>
      <c r="I66" s="59" t="s">
        <v>394</v>
      </c>
      <c r="J66" s="58"/>
      <c r="K66" s="58"/>
      <c r="L66" s="59" t="s">
        <v>395</v>
      </c>
      <c r="M66" s="58"/>
    </row>
    <row r="67" spans="1:13">
      <c r="A67" s="64"/>
      <c r="B67" s="61"/>
      <c r="C67" s="60"/>
      <c r="D67" s="61"/>
      <c r="E67" s="60"/>
      <c r="F67" s="61"/>
      <c r="G67" s="60"/>
      <c r="H67" s="60"/>
      <c r="I67" s="61"/>
      <c r="J67" s="60"/>
      <c r="K67" s="60"/>
      <c r="L67" s="61"/>
      <c r="M67" s="60"/>
    </row>
    <row r="68" spans="1:13">
      <c r="A68" s="71" t="s">
        <v>53</v>
      </c>
      <c r="B68" s="59">
        <v>6</v>
      </c>
      <c r="C68" s="58"/>
      <c r="D68" s="59">
        <v>5</v>
      </c>
      <c r="E68" s="72">
        <v>15</v>
      </c>
      <c r="F68" s="59" t="s">
        <v>395</v>
      </c>
      <c r="G68" s="58"/>
      <c r="H68" s="58"/>
      <c r="I68" s="59" t="s">
        <v>394</v>
      </c>
      <c r="J68" s="58"/>
      <c r="K68" s="58"/>
      <c r="L68" s="59" t="s">
        <v>395</v>
      </c>
      <c r="M68" s="58"/>
    </row>
    <row r="69" spans="1:13">
      <c r="A69" s="64" t="s">
        <v>54</v>
      </c>
      <c r="B69" s="61">
        <v>5</v>
      </c>
      <c r="C69" s="60"/>
      <c r="D69" s="61" t="s">
        <v>400</v>
      </c>
      <c r="E69" s="60"/>
      <c r="F69" s="61" t="s">
        <v>394</v>
      </c>
      <c r="G69" s="60"/>
      <c r="H69" s="60"/>
      <c r="I69" s="61" t="s">
        <v>395</v>
      </c>
      <c r="J69" s="60"/>
      <c r="K69" s="60"/>
      <c r="L69" s="61" t="s">
        <v>394</v>
      </c>
      <c r="M69" s="60"/>
    </row>
    <row r="70" spans="1:13">
      <c r="A70" s="71" t="s">
        <v>55</v>
      </c>
      <c r="B70" s="59">
        <v>8</v>
      </c>
      <c r="C70" s="58"/>
      <c r="D70" s="59" t="s">
        <v>396</v>
      </c>
      <c r="E70" s="58"/>
      <c r="F70" s="59" t="s">
        <v>394</v>
      </c>
      <c r="G70" s="58"/>
      <c r="H70" s="58"/>
      <c r="I70" s="59" t="s">
        <v>395</v>
      </c>
      <c r="J70" s="58"/>
      <c r="K70" s="58"/>
      <c r="L70" s="59" t="s">
        <v>395</v>
      </c>
      <c r="M70" s="58"/>
    </row>
    <row r="71" spans="1:13">
      <c r="A71" s="64" t="s">
        <v>56</v>
      </c>
      <c r="B71" s="61">
        <v>6</v>
      </c>
      <c r="C71" s="60"/>
      <c r="D71" s="61" t="s">
        <v>396</v>
      </c>
      <c r="E71" s="66">
        <v>16</v>
      </c>
      <c r="F71" s="61" t="s">
        <v>394</v>
      </c>
      <c r="G71" s="60"/>
      <c r="H71" s="60"/>
      <c r="I71" s="61" t="s">
        <v>395</v>
      </c>
      <c r="J71" s="60"/>
      <c r="K71" s="60"/>
      <c r="L71" s="61" t="s">
        <v>394</v>
      </c>
      <c r="M71" s="60"/>
    </row>
    <row r="72" spans="1:13">
      <c r="A72" s="71" t="s">
        <v>57</v>
      </c>
      <c r="B72" s="59">
        <v>6</v>
      </c>
      <c r="C72" s="58"/>
      <c r="D72" s="59" t="s">
        <v>393</v>
      </c>
      <c r="E72" s="72">
        <v>17</v>
      </c>
      <c r="F72" s="59" t="s">
        <v>395</v>
      </c>
      <c r="G72" s="58"/>
      <c r="H72" s="58"/>
      <c r="I72" s="59" t="s">
        <v>394</v>
      </c>
      <c r="J72" s="58"/>
      <c r="K72" s="58"/>
      <c r="L72" s="59" t="s">
        <v>394</v>
      </c>
      <c r="M72" s="72">
        <v>18</v>
      </c>
    </row>
    <row r="73" spans="1:13">
      <c r="A73" s="64"/>
      <c r="B73" s="61"/>
      <c r="C73" s="60"/>
      <c r="D73" s="61"/>
      <c r="E73" s="60"/>
      <c r="F73" s="61"/>
      <c r="G73" s="60"/>
      <c r="H73" s="60"/>
      <c r="I73" s="61"/>
      <c r="J73" s="60"/>
      <c r="K73" s="60"/>
      <c r="L73" s="61"/>
      <c r="M73" s="60"/>
    </row>
    <row r="74" spans="1:13" ht="15.75" thickBot="1">
      <c r="A74" s="1" t="s">
        <v>58</v>
      </c>
      <c r="B74" s="2">
        <v>7</v>
      </c>
      <c r="C74" s="3"/>
      <c r="D74" s="2" t="s">
        <v>418</v>
      </c>
      <c r="E74" s="3"/>
      <c r="F74" s="2" t="s">
        <v>395</v>
      </c>
      <c r="G74" s="3"/>
      <c r="H74" s="3"/>
      <c r="I74" s="2" t="s">
        <v>394</v>
      </c>
      <c r="J74" s="4">
        <v>19</v>
      </c>
      <c r="K74" s="3"/>
      <c r="L74" s="2" t="s">
        <v>197</v>
      </c>
      <c r="M74" s="3"/>
    </row>
    <row r="75" spans="1:13">
      <c r="A75" s="107" t="s">
        <v>419</v>
      </c>
      <c r="B75" s="107"/>
      <c r="C75" s="107"/>
      <c r="D75" s="107"/>
      <c r="E75" s="107"/>
      <c r="F75" s="107"/>
      <c r="G75" s="107"/>
      <c r="H75" s="107"/>
      <c r="I75" s="107"/>
      <c r="J75" s="107"/>
      <c r="K75" s="107"/>
      <c r="L75" s="107"/>
      <c r="M75" s="107"/>
    </row>
    <row r="76" spans="1:13">
      <c r="A76" s="104" t="s">
        <v>420</v>
      </c>
      <c r="B76" s="104"/>
      <c r="C76" s="104"/>
      <c r="D76" s="104"/>
      <c r="E76" s="104"/>
      <c r="F76" s="104"/>
      <c r="G76" s="104"/>
      <c r="H76" s="104"/>
      <c r="I76" s="104"/>
      <c r="J76" s="104"/>
      <c r="K76" s="104"/>
      <c r="L76" s="104"/>
      <c r="M76" s="104"/>
    </row>
    <row r="77" spans="1:13">
      <c r="A77" s="104" t="s">
        <v>421</v>
      </c>
      <c r="B77" s="104"/>
      <c r="C77" s="104"/>
      <c r="D77" s="104"/>
      <c r="E77" s="104"/>
      <c r="F77" s="104"/>
      <c r="G77" s="104"/>
      <c r="H77" s="104"/>
      <c r="I77" s="104"/>
      <c r="J77" s="104"/>
      <c r="K77" s="104"/>
      <c r="L77" s="104"/>
      <c r="M77" s="104"/>
    </row>
    <row r="78" spans="1:13" ht="22.5" customHeight="1">
      <c r="A78" s="104" t="s">
        <v>422</v>
      </c>
      <c r="B78" s="104"/>
      <c r="C78" s="104"/>
      <c r="D78" s="104"/>
      <c r="E78" s="104"/>
      <c r="F78" s="104"/>
      <c r="G78" s="104"/>
      <c r="H78" s="104"/>
      <c r="I78" s="104"/>
      <c r="J78" s="104"/>
      <c r="K78" s="104"/>
      <c r="L78" s="104"/>
      <c r="M78" s="104"/>
    </row>
    <row r="79" spans="1:13">
      <c r="A79" s="104" t="s">
        <v>423</v>
      </c>
      <c r="B79" s="104"/>
      <c r="C79" s="104"/>
      <c r="D79" s="104"/>
      <c r="E79" s="104"/>
      <c r="F79" s="104"/>
      <c r="G79" s="104"/>
      <c r="H79" s="104"/>
      <c r="I79" s="104"/>
      <c r="J79" s="104"/>
      <c r="K79" s="104"/>
      <c r="L79" s="104"/>
      <c r="M79" s="104"/>
    </row>
    <row r="80" spans="1:13">
      <c r="A80" s="106" t="s">
        <v>424</v>
      </c>
      <c r="B80" s="106"/>
      <c r="C80" s="106"/>
      <c r="D80" s="106"/>
      <c r="E80" s="106"/>
      <c r="F80" s="106"/>
      <c r="G80" s="106"/>
      <c r="H80" s="106"/>
      <c r="I80" s="106"/>
      <c r="J80" s="106"/>
      <c r="K80" s="106"/>
      <c r="L80" s="106"/>
      <c r="M80" s="106"/>
    </row>
    <row r="81" spans="1:13">
      <c r="A81" s="104" t="s">
        <v>425</v>
      </c>
      <c r="B81" s="104"/>
      <c r="C81" s="104"/>
      <c r="D81" s="104"/>
      <c r="E81" s="104"/>
      <c r="F81" s="104"/>
      <c r="G81" s="104"/>
      <c r="H81" s="104"/>
      <c r="I81" s="104"/>
      <c r="J81" s="104"/>
      <c r="K81" s="104"/>
      <c r="L81" s="104"/>
      <c r="M81" s="104"/>
    </row>
    <row r="82" spans="1:13">
      <c r="A82" s="104" t="s">
        <v>426</v>
      </c>
      <c r="B82" s="104"/>
      <c r="C82" s="104"/>
      <c r="D82" s="104"/>
      <c r="E82" s="104"/>
      <c r="F82" s="104"/>
      <c r="G82" s="104"/>
      <c r="H82" s="104"/>
      <c r="I82" s="104"/>
      <c r="J82" s="104"/>
      <c r="K82" s="104"/>
      <c r="L82" s="104"/>
      <c r="M82" s="104"/>
    </row>
    <row r="83" spans="1:13">
      <c r="A83" s="104" t="s">
        <v>427</v>
      </c>
      <c r="B83" s="104"/>
      <c r="C83" s="104"/>
      <c r="D83" s="104"/>
      <c r="E83" s="104"/>
      <c r="F83" s="104"/>
      <c r="G83" s="104"/>
      <c r="H83" s="104"/>
      <c r="I83" s="104"/>
      <c r="J83" s="104"/>
      <c r="K83" s="104"/>
      <c r="L83" s="104"/>
      <c r="M83" s="104"/>
    </row>
    <row r="84" spans="1:13">
      <c r="A84" s="104" t="s">
        <v>428</v>
      </c>
      <c r="B84" s="104"/>
      <c r="C84" s="104"/>
      <c r="D84" s="104"/>
      <c r="E84" s="104"/>
      <c r="F84" s="104"/>
      <c r="G84" s="104"/>
      <c r="H84" s="104"/>
      <c r="I84" s="104"/>
      <c r="J84" s="104"/>
      <c r="K84" s="104"/>
      <c r="L84" s="104"/>
      <c r="M84" s="104"/>
    </row>
    <row r="85" spans="1:13">
      <c r="A85" s="104" t="s">
        <v>429</v>
      </c>
      <c r="B85" s="104"/>
      <c r="C85" s="104"/>
      <c r="D85" s="104"/>
      <c r="E85" s="104"/>
      <c r="F85" s="104"/>
      <c r="G85" s="104"/>
      <c r="H85" s="104"/>
      <c r="I85" s="104"/>
      <c r="J85" s="104"/>
      <c r="K85" s="104"/>
      <c r="L85" s="104"/>
      <c r="M85" s="104"/>
    </row>
    <row r="86" spans="1:13">
      <c r="A86" s="104" t="s">
        <v>430</v>
      </c>
      <c r="B86" s="104"/>
      <c r="C86" s="104"/>
      <c r="D86" s="104"/>
      <c r="E86" s="104"/>
      <c r="F86" s="104"/>
      <c r="G86" s="104"/>
      <c r="H86" s="104"/>
      <c r="I86" s="104"/>
      <c r="J86" s="104"/>
      <c r="K86" s="104"/>
      <c r="L86" s="104"/>
      <c r="M86" s="104"/>
    </row>
    <row r="87" spans="1:13">
      <c r="A87" s="104" t="s">
        <v>431</v>
      </c>
      <c r="B87" s="104"/>
      <c r="C87" s="104"/>
      <c r="D87" s="104"/>
      <c r="E87" s="104"/>
      <c r="F87" s="104"/>
      <c r="G87" s="104"/>
      <c r="H87" s="104"/>
      <c r="I87" s="104"/>
      <c r="J87" s="104"/>
      <c r="K87" s="104"/>
      <c r="L87" s="104"/>
      <c r="M87" s="104"/>
    </row>
    <row r="88" spans="1:13">
      <c r="A88" s="106" t="s">
        <v>432</v>
      </c>
      <c r="B88" s="106"/>
      <c r="C88" s="106"/>
      <c r="D88" s="106"/>
      <c r="E88" s="106"/>
      <c r="F88" s="106"/>
      <c r="G88" s="106"/>
      <c r="H88" s="106"/>
      <c r="I88" s="106"/>
      <c r="J88" s="106"/>
      <c r="K88" s="106"/>
      <c r="L88" s="106"/>
      <c r="M88" s="106"/>
    </row>
    <row r="89" spans="1:13">
      <c r="A89" s="104" t="s">
        <v>433</v>
      </c>
      <c r="B89" s="104"/>
      <c r="C89" s="104"/>
      <c r="D89" s="104"/>
      <c r="E89" s="104"/>
      <c r="F89" s="104"/>
      <c r="G89" s="104"/>
      <c r="H89" s="104"/>
      <c r="I89" s="104"/>
      <c r="J89" s="104"/>
      <c r="K89" s="104"/>
      <c r="L89" s="104"/>
      <c r="M89" s="104"/>
    </row>
    <row r="90" spans="1:13">
      <c r="A90" s="104" t="s">
        <v>434</v>
      </c>
      <c r="B90" s="104"/>
      <c r="C90" s="104"/>
      <c r="D90" s="104"/>
      <c r="E90" s="104"/>
      <c r="F90" s="104"/>
      <c r="G90" s="104"/>
      <c r="H90" s="104"/>
      <c r="I90" s="104"/>
      <c r="J90" s="104"/>
      <c r="K90" s="104"/>
      <c r="L90" s="104"/>
      <c r="M90" s="104"/>
    </row>
    <row r="91" spans="1:13">
      <c r="A91" s="104" t="s">
        <v>435</v>
      </c>
      <c r="B91" s="104"/>
      <c r="C91" s="104"/>
      <c r="D91" s="104"/>
      <c r="E91" s="104"/>
      <c r="F91" s="104"/>
      <c r="G91" s="104"/>
      <c r="H91" s="104"/>
      <c r="I91" s="104"/>
      <c r="J91" s="104"/>
      <c r="K91" s="104"/>
      <c r="L91" s="104"/>
      <c r="M91" s="104"/>
    </row>
    <row r="92" spans="1:13">
      <c r="A92" s="104" t="s">
        <v>436</v>
      </c>
      <c r="B92" s="104"/>
      <c r="C92" s="104"/>
      <c r="D92" s="104"/>
      <c r="E92" s="104"/>
      <c r="F92" s="104"/>
      <c r="G92" s="104"/>
      <c r="H92" s="104"/>
      <c r="I92" s="104"/>
      <c r="J92" s="104"/>
      <c r="K92" s="104"/>
      <c r="L92" s="104"/>
      <c r="M92" s="104"/>
    </row>
    <row r="93" spans="1:13">
      <c r="A93" s="104" t="s">
        <v>437</v>
      </c>
      <c r="B93" s="104"/>
      <c r="C93" s="104"/>
      <c r="D93" s="104"/>
      <c r="E93" s="104"/>
      <c r="F93" s="104"/>
      <c r="G93" s="104"/>
      <c r="H93" s="104"/>
      <c r="I93" s="104"/>
      <c r="J93" s="104"/>
      <c r="K93" s="104"/>
      <c r="L93" s="104"/>
      <c r="M93" s="104"/>
    </row>
    <row r="94" spans="1:13">
      <c r="A94" s="104" t="s">
        <v>438</v>
      </c>
      <c r="B94" s="104"/>
      <c r="C94" s="104"/>
      <c r="D94" s="104"/>
      <c r="E94" s="104"/>
      <c r="F94" s="104"/>
      <c r="G94" s="104"/>
      <c r="H94" s="104"/>
      <c r="I94" s="104"/>
      <c r="J94" s="104"/>
      <c r="K94" s="104"/>
      <c r="L94" s="104"/>
      <c r="M94" s="104"/>
    </row>
    <row r="95" spans="1:13" ht="33.75" customHeight="1">
      <c r="A95" s="105" t="s">
        <v>439</v>
      </c>
      <c r="B95" s="105"/>
      <c r="C95" s="105"/>
      <c r="D95" s="105"/>
      <c r="E95" s="105"/>
      <c r="F95" s="105"/>
      <c r="G95" s="105"/>
      <c r="H95" s="105"/>
      <c r="I95" s="105"/>
      <c r="J95" s="105"/>
      <c r="K95" s="105"/>
      <c r="L95" s="105"/>
      <c r="M95" s="105"/>
    </row>
  </sheetData>
  <mergeCells count="65">
    <mergeCell ref="A1:A5"/>
    <mergeCell ref="C1:C5"/>
    <mergeCell ref="E1:E5"/>
    <mergeCell ref="G1:G5"/>
    <mergeCell ref="A33:A37"/>
    <mergeCell ref="B33:B37"/>
    <mergeCell ref="C33:C37"/>
    <mergeCell ref="E33:E37"/>
    <mergeCell ref="F33:F37"/>
    <mergeCell ref="H46:H47"/>
    <mergeCell ref="J1:J5"/>
    <mergeCell ref="G46:G47"/>
    <mergeCell ref="K1:K5"/>
    <mergeCell ref="M1:M5"/>
    <mergeCell ref="G33:G37"/>
    <mergeCell ref="H33:H37"/>
    <mergeCell ref="I33:I37"/>
    <mergeCell ref="J33:J37"/>
    <mergeCell ref="K33:K37"/>
    <mergeCell ref="L33:L37"/>
    <mergeCell ref="M33:M37"/>
    <mergeCell ref="H1:H5"/>
    <mergeCell ref="J46:J47"/>
    <mergeCell ref="K46:K47"/>
    <mergeCell ref="L46:L47"/>
    <mergeCell ref="A46:A47"/>
    <mergeCell ref="B46:B47"/>
    <mergeCell ref="C46:C47"/>
    <mergeCell ref="E46:E47"/>
    <mergeCell ref="F46:F47"/>
    <mergeCell ref="M49:M50"/>
    <mergeCell ref="A49:A50"/>
    <mergeCell ref="B49:B50"/>
    <mergeCell ref="C49:C50"/>
    <mergeCell ref="E49:E50"/>
    <mergeCell ref="F49:F50"/>
    <mergeCell ref="H49:H50"/>
    <mergeCell ref="I49:I50"/>
    <mergeCell ref="J49:J50"/>
    <mergeCell ref="K49:K50"/>
    <mergeCell ref="L49:L50"/>
    <mergeCell ref="M46:M47"/>
    <mergeCell ref="A87:M87"/>
    <mergeCell ref="A88:M88"/>
    <mergeCell ref="A89:M89"/>
    <mergeCell ref="A90:M90"/>
    <mergeCell ref="A81:M81"/>
    <mergeCell ref="A82:M82"/>
    <mergeCell ref="A83:M83"/>
    <mergeCell ref="A84:M84"/>
    <mergeCell ref="A85:M85"/>
    <mergeCell ref="G49:G50"/>
    <mergeCell ref="A75:M75"/>
    <mergeCell ref="A76:M76"/>
    <mergeCell ref="A77:M77"/>
    <mergeCell ref="A78:M78"/>
    <mergeCell ref="I46:I47"/>
    <mergeCell ref="A86:M86"/>
    <mergeCell ref="A79:M79"/>
    <mergeCell ref="A93:M93"/>
    <mergeCell ref="A94:M94"/>
    <mergeCell ref="A95:M95"/>
    <mergeCell ref="A91:M91"/>
    <mergeCell ref="A92:M92"/>
    <mergeCell ref="A80:M8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B6EF0-EB56-4E0B-B949-C88E71D83332}">
  <dimension ref="A1:Q79"/>
  <sheetViews>
    <sheetView topLeftCell="F1" workbookViewId="0">
      <selection activeCell="Q5" sqref="Q5"/>
    </sheetView>
  </sheetViews>
  <sheetFormatPr defaultRowHeight="15"/>
  <cols>
    <col min="1" max="1" width="20" customWidth="1"/>
    <col min="9" max="9" width="12.140625" customWidth="1"/>
    <col min="11" max="11" width="18.140625" customWidth="1"/>
    <col min="13" max="13" width="12.85546875" customWidth="1"/>
    <col min="14" max="14" width="14.85546875" customWidth="1"/>
  </cols>
  <sheetData>
    <row r="1" spans="1:17" ht="41.25" customHeight="1">
      <c r="A1" s="111" t="s">
        <v>440</v>
      </c>
      <c r="B1" s="111"/>
      <c r="C1" s="111"/>
      <c r="D1" s="111"/>
      <c r="E1" s="111"/>
      <c r="F1" s="111"/>
      <c r="G1" s="111"/>
      <c r="H1" s="111"/>
      <c r="I1" s="111"/>
      <c r="J1" s="111"/>
      <c r="K1" s="111"/>
      <c r="L1" s="111"/>
      <c r="M1" s="111"/>
      <c r="N1" s="111"/>
    </row>
    <row r="2" spans="1:17" ht="15.75" thickBot="1"/>
    <row r="3" spans="1:17" ht="15.75" thickBot="1">
      <c r="A3" s="5"/>
      <c r="B3" s="113" t="s">
        <v>441</v>
      </c>
      <c r="C3" s="113"/>
      <c r="D3" s="113"/>
      <c r="E3" s="113"/>
      <c r="F3" s="113"/>
      <c r="G3" s="113"/>
      <c r="H3" s="5"/>
      <c r="I3" s="113" t="s">
        <v>442</v>
      </c>
      <c r="J3" s="113"/>
      <c r="K3" s="113"/>
      <c r="L3" s="113"/>
      <c r="M3" s="113"/>
      <c r="N3" s="113"/>
    </row>
    <row r="4" spans="1:17" ht="22.5">
      <c r="A4" s="84" t="s">
        <v>178</v>
      </c>
      <c r="B4" s="65" t="s">
        <v>443</v>
      </c>
      <c r="C4" s="97"/>
      <c r="D4" s="65" t="s">
        <v>444</v>
      </c>
      <c r="E4" s="97"/>
      <c r="F4" s="65" t="s">
        <v>445</v>
      </c>
      <c r="G4" s="65" t="s">
        <v>446</v>
      </c>
      <c r="H4" s="61"/>
      <c r="I4" s="65" t="s">
        <v>443</v>
      </c>
      <c r="J4" s="97"/>
      <c r="K4" s="65" t="s">
        <v>444</v>
      </c>
      <c r="L4" s="97"/>
      <c r="M4" s="65" t="s">
        <v>445</v>
      </c>
      <c r="N4" s="65" t="s">
        <v>446</v>
      </c>
    </row>
    <row r="5" spans="1:17" ht="33">
      <c r="A5" s="84"/>
      <c r="B5" s="61" t="s">
        <v>447</v>
      </c>
      <c r="C5" s="86"/>
      <c r="D5" s="61" t="s">
        <v>448</v>
      </c>
      <c r="E5" s="86"/>
      <c r="F5" s="61" t="s">
        <v>449</v>
      </c>
      <c r="G5" s="61" t="s">
        <v>450</v>
      </c>
      <c r="H5" s="61"/>
      <c r="I5" s="61" t="s">
        <v>447</v>
      </c>
      <c r="J5" s="86"/>
      <c r="K5" s="61" t="s">
        <v>448</v>
      </c>
      <c r="L5" s="86"/>
      <c r="M5" s="61" t="s">
        <v>449</v>
      </c>
      <c r="N5" s="61" t="s">
        <v>450</v>
      </c>
      <c r="Q5" t="s">
        <v>451</v>
      </c>
    </row>
    <row r="6" spans="1:17" ht="23.25" thickBot="1">
      <c r="A6" s="85"/>
      <c r="B6" s="74" t="s">
        <v>452</v>
      </c>
      <c r="C6" s="87"/>
      <c r="D6" s="74" t="s">
        <v>452</v>
      </c>
      <c r="E6" s="87"/>
      <c r="F6" s="74"/>
      <c r="G6" s="74" t="s">
        <v>453</v>
      </c>
      <c r="H6" s="61"/>
      <c r="I6" s="74" t="s">
        <v>452</v>
      </c>
      <c r="J6" s="87"/>
      <c r="K6" s="74" t="s">
        <v>452</v>
      </c>
      <c r="L6" s="87"/>
      <c r="M6" s="74"/>
      <c r="N6" s="74" t="s">
        <v>453</v>
      </c>
    </row>
    <row r="7" spans="1:17">
      <c r="A7" s="63" t="s">
        <v>454</v>
      </c>
      <c r="B7" s="65">
        <v>39</v>
      </c>
      <c r="C7" s="65"/>
      <c r="D7" s="65">
        <v>46</v>
      </c>
      <c r="E7" s="65"/>
      <c r="F7" s="65">
        <v>26</v>
      </c>
      <c r="G7" s="65">
        <v>26</v>
      </c>
      <c r="H7" s="61"/>
      <c r="I7" s="65">
        <v>39</v>
      </c>
      <c r="J7" s="65"/>
      <c r="K7" s="65">
        <v>46</v>
      </c>
      <c r="L7" s="65"/>
      <c r="M7" s="65">
        <v>26</v>
      </c>
      <c r="N7" s="65">
        <v>26</v>
      </c>
    </row>
    <row r="8" spans="1:17">
      <c r="A8" s="69"/>
      <c r="B8" s="61"/>
      <c r="C8" s="61"/>
      <c r="D8" s="61"/>
      <c r="E8" s="61"/>
      <c r="F8" s="61"/>
      <c r="G8" s="61"/>
      <c r="H8" s="61"/>
      <c r="I8" s="61"/>
      <c r="J8" s="61"/>
      <c r="K8" s="61"/>
      <c r="L8" s="61"/>
      <c r="M8" s="61"/>
      <c r="N8" s="61"/>
    </row>
    <row r="9" spans="1:17">
      <c r="A9" s="64" t="s">
        <v>455</v>
      </c>
      <c r="B9" s="61" t="s">
        <v>394</v>
      </c>
      <c r="C9" s="61"/>
      <c r="D9" s="61" t="s">
        <v>394</v>
      </c>
      <c r="E9" s="61"/>
      <c r="F9" s="61" t="s">
        <v>394</v>
      </c>
      <c r="G9" s="61" t="s">
        <v>394</v>
      </c>
      <c r="H9" s="61"/>
      <c r="I9" s="61" t="s">
        <v>394</v>
      </c>
      <c r="J9" s="61"/>
      <c r="K9" s="61" t="s">
        <v>394</v>
      </c>
      <c r="L9" s="61"/>
      <c r="M9" s="61" t="s">
        <v>394</v>
      </c>
      <c r="N9" s="61" t="s">
        <v>394</v>
      </c>
    </row>
    <row r="10" spans="1:17">
      <c r="A10" s="64" t="s">
        <v>7</v>
      </c>
      <c r="B10" s="61" t="s">
        <v>394</v>
      </c>
      <c r="C10" s="61"/>
      <c r="D10" s="61" t="s">
        <v>394</v>
      </c>
      <c r="E10" s="61"/>
      <c r="F10" s="61" t="s">
        <v>395</v>
      </c>
      <c r="G10" s="61" t="s">
        <v>395</v>
      </c>
      <c r="H10" s="61"/>
      <c r="I10" s="61" t="s">
        <v>394</v>
      </c>
      <c r="J10" s="61"/>
      <c r="K10" s="61" t="s">
        <v>394</v>
      </c>
      <c r="L10" s="61"/>
      <c r="M10" s="61" t="s">
        <v>395</v>
      </c>
      <c r="N10" s="61" t="s">
        <v>395</v>
      </c>
    </row>
    <row r="11" spans="1:17">
      <c r="A11" s="64" t="s">
        <v>8</v>
      </c>
      <c r="B11" s="61" t="s">
        <v>395</v>
      </c>
      <c r="C11" s="61"/>
      <c r="D11" s="61" t="s">
        <v>394</v>
      </c>
      <c r="E11" s="61"/>
      <c r="F11" s="61" t="s">
        <v>394</v>
      </c>
      <c r="G11" s="61" t="s">
        <v>395</v>
      </c>
      <c r="H11" s="61"/>
      <c r="I11" s="61" t="s">
        <v>395</v>
      </c>
      <c r="J11" s="61"/>
      <c r="K11" s="61" t="s">
        <v>394</v>
      </c>
      <c r="L11" s="61"/>
      <c r="M11" s="61" t="s">
        <v>394</v>
      </c>
      <c r="N11" s="61" t="s">
        <v>395</v>
      </c>
    </row>
    <row r="12" spans="1:17">
      <c r="A12" s="64" t="s">
        <v>10</v>
      </c>
      <c r="B12" s="61" t="s">
        <v>394</v>
      </c>
      <c r="C12" s="61"/>
      <c r="D12" s="61" t="s">
        <v>394</v>
      </c>
      <c r="E12" s="61"/>
      <c r="F12" s="61" t="s">
        <v>394</v>
      </c>
      <c r="G12" s="61" t="s">
        <v>395</v>
      </c>
      <c r="H12" s="61"/>
      <c r="I12" s="61" t="s">
        <v>394</v>
      </c>
      <c r="J12" s="61"/>
      <c r="K12" s="61" t="s">
        <v>394</v>
      </c>
      <c r="L12" s="61"/>
      <c r="M12" s="61" t="s">
        <v>394</v>
      </c>
      <c r="N12" s="61" t="s">
        <v>395</v>
      </c>
    </row>
    <row r="13" spans="1:17">
      <c r="A13" s="64" t="s">
        <v>12</v>
      </c>
      <c r="B13" s="61" t="s">
        <v>394</v>
      </c>
      <c r="C13" s="61"/>
      <c r="D13" s="61" t="s">
        <v>456</v>
      </c>
      <c r="E13" s="66">
        <v>3</v>
      </c>
      <c r="F13" s="61" t="s">
        <v>395</v>
      </c>
      <c r="G13" s="61" t="s">
        <v>394</v>
      </c>
      <c r="H13" s="61"/>
      <c r="I13" s="61" t="s">
        <v>394</v>
      </c>
      <c r="J13" s="61"/>
      <c r="K13" s="61" t="s">
        <v>456</v>
      </c>
      <c r="L13" s="66">
        <v>3</v>
      </c>
      <c r="M13" s="61" t="s">
        <v>395</v>
      </c>
      <c r="N13" s="61" t="s">
        <v>394</v>
      </c>
    </row>
    <row r="14" spans="1:17">
      <c r="A14" s="64"/>
      <c r="B14" s="61"/>
      <c r="C14" s="61"/>
      <c r="D14" s="61"/>
      <c r="E14" s="61"/>
      <c r="F14" s="68"/>
      <c r="G14" s="68"/>
      <c r="H14" s="61"/>
      <c r="I14" s="61"/>
      <c r="J14" s="61"/>
      <c r="K14" s="61"/>
      <c r="L14" s="61"/>
      <c r="M14" s="61"/>
      <c r="N14" s="61"/>
    </row>
    <row r="15" spans="1:17">
      <c r="A15" s="64" t="s">
        <v>13</v>
      </c>
      <c r="B15" s="61" t="s">
        <v>395</v>
      </c>
      <c r="C15" s="61"/>
      <c r="D15" s="61" t="s">
        <v>394</v>
      </c>
      <c r="E15" s="61"/>
      <c r="F15" s="61" t="s">
        <v>395</v>
      </c>
      <c r="G15" s="61" t="s">
        <v>395</v>
      </c>
      <c r="H15" s="61"/>
      <c r="I15" s="61" t="s">
        <v>395</v>
      </c>
      <c r="J15" s="61"/>
      <c r="K15" s="61" t="s">
        <v>394</v>
      </c>
      <c r="L15" s="61"/>
      <c r="M15" s="61" t="s">
        <v>395</v>
      </c>
      <c r="N15" s="61" t="s">
        <v>395</v>
      </c>
    </row>
    <row r="16" spans="1:17">
      <c r="A16" s="64" t="s">
        <v>14</v>
      </c>
      <c r="B16" s="61" t="s">
        <v>394</v>
      </c>
      <c r="C16" s="61"/>
      <c r="D16" s="61" t="s">
        <v>394</v>
      </c>
      <c r="E16" s="66">
        <v>4</v>
      </c>
      <c r="F16" s="61" t="s">
        <v>395</v>
      </c>
      <c r="G16" s="61" t="s">
        <v>395</v>
      </c>
      <c r="H16" s="61"/>
      <c r="I16" s="61" t="s">
        <v>394</v>
      </c>
      <c r="J16" s="61"/>
      <c r="K16" s="61" t="s">
        <v>394</v>
      </c>
      <c r="L16" s="66">
        <v>4</v>
      </c>
      <c r="M16" s="61" t="s">
        <v>395</v>
      </c>
      <c r="N16" s="61" t="s">
        <v>395</v>
      </c>
    </row>
    <row r="17" spans="1:14">
      <c r="A17" s="64" t="s">
        <v>15</v>
      </c>
      <c r="B17" s="61" t="s">
        <v>394</v>
      </c>
      <c r="C17" s="61"/>
      <c r="D17" s="61" t="s">
        <v>394</v>
      </c>
      <c r="E17" s="61"/>
      <c r="F17" s="61" t="s">
        <v>395</v>
      </c>
      <c r="G17" s="61" t="s">
        <v>395</v>
      </c>
      <c r="H17" s="61"/>
      <c r="I17" s="61" t="s">
        <v>394</v>
      </c>
      <c r="J17" s="61"/>
      <c r="K17" s="61" t="s">
        <v>394</v>
      </c>
      <c r="L17" s="61"/>
      <c r="M17" s="61" t="s">
        <v>395</v>
      </c>
      <c r="N17" s="61" t="s">
        <v>395</v>
      </c>
    </row>
    <row r="18" spans="1:14">
      <c r="A18" s="64" t="s">
        <v>16</v>
      </c>
      <c r="B18" s="61" t="s">
        <v>394</v>
      </c>
      <c r="C18" s="61"/>
      <c r="D18" s="61" t="s">
        <v>394</v>
      </c>
      <c r="E18" s="61"/>
      <c r="F18" s="61" t="s">
        <v>394</v>
      </c>
      <c r="G18" s="61" t="s">
        <v>395</v>
      </c>
      <c r="H18" s="61"/>
      <c r="I18" s="61" t="s">
        <v>394</v>
      </c>
      <c r="J18" s="61"/>
      <c r="K18" s="61" t="s">
        <v>394</v>
      </c>
      <c r="L18" s="61"/>
      <c r="M18" s="61" t="s">
        <v>394</v>
      </c>
      <c r="N18" s="61" t="s">
        <v>395</v>
      </c>
    </row>
    <row r="19" spans="1:14">
      <c r="A19" s="64" t="s">
        <v>17</v>
      </c>
      <c r="B19" s="61" t="s">
        <v>394</v>
      </c>
      <c r="C19" s="61"/>
      <c r="D19" s="61" t="s">
        <v>395</v>
      </c>
      <c r="E19" s="61"/>
      <c r="F19" s="61" t="s">
        <v>395</v>
      </c>
      <c r="G19" s="61" t="s">
        <v>394</v>
      </c>
      <c r="H19" s="61"/>
      <c r="I19" s="61" t="s">
        <v>394</v>
      </c>
      <c r="J19" s="61"/>
      <c r="K19" s="61" t="s">
        <v>395</v>
      </c>
      <c r="L19" s="61"/>
      <c r="M19" s="61" t="s">
        <v>395</v>
      </c>
      <c r="N19" s="61" t="s">
        <v>394</v>
      </c>
    </row>
    <row r="20" spans="1:14">
      <c r="A20" s="64"/>
      <c r="B20" s="61"/>
      <c r="C20" s="61"/>
      <c r="D20" s="61"/>
      <c r="E20" s="61"/>
      <c r="F20" s="68"/>
      <c r="G20" s="68"/>
      <c r="H20" s="61"/>
      <c r="I20" s="61"/>
      <c r="J20" s="61"/>
      <c r="K20" s="61"/>
      <c r="L20" s="61"/>
      <c r="M20" s="61"/>
      <c r="N20" s="61"/>
    </row>
    <row r="21" spans="1:14">
      <c r="A21" s="64" t="s">
        <v>18</v>
      </c>
      <c r="B21" s="61" t="s">
        <v>394</v>
      </c>
      <c r="C21" s="61"/>
      <c r="D21" s="61" t="s">
        <v>394</v>
      </c>
      <c r="E21" s="61"/>
      <c r="F21" s="61" t="s">
        <v>395</v>
      </c>
      <c r="G21" s="61" t="s">
        <v>394</v>
      </c>
      <c r="H21" s="61"/>
      <c r="I21" s="61" t="s">
        <v>394</v>
      </c>
      <c r="J21" s="61"/>
      <c r="K21" s="61" t="s">
        <v>394</v>
      </c>
      <c r="L21" s="61"/>
      <c r="M21" s="61" t="s">
        <v>395</v>
      </c>
      <c r="N21" s="61" t="s">
        <v>394</v>
      </c>
    </row>
    <row r="22" spans="1:14">
      <c r="A22" s="64" t="s">
        <v>19</v>
      </c>
      <c r="B22" s="61" t="s">
        <v>394</v>
      </c>
      <c r="C22" s="61"/>
      <c r="D22" s="61" t="s">
        <v>394</v>
      </c>
      <c r="E22" s="61"/>
      <c r="F22" s="61" t="s">
        <v>395</v>
      </c>
      <c r="G22" s="61" t="s">
        <v>395</v>
      </c>
      <c r="H22" s="61"/>
      <c r="I22" s="61" t="s">
        <v>394</v>
      </c>
      <c r="J22" s="61"/>
      <c r="K22" s="61" t="s">
        <v>394</v>
      </c>
      <c r="L22" s="61"/>
      <c r="M22" s="61" t="s">
        <v>395</v>
      </c>
      <c r="N22" s="61" t="s">
        <v>395</v>
      </c>
    </row>
    <row r="23" spans="1:14">
      <c r="A23" s="64" t="s">
        <v>20</v>
      </c>
      <c r="B23" s="61" t="s">
        <v>395</v>
      </c>
      <c r="C23" s="61"/>
      <c r="D23" s="61" t="s">
        <v>394</v>
      </c>
      <c r="E23" s="61"/>
      <c r="F23" s="61" t="s">
        <v>395</v>
      </c>
      <c r="G23" s="61" t="s">
        <v>394</v>
      </c>
      <c r="H23" s="61"/>
      <c r="I23" s="61" t="s">
        <v>395</v>
      </c>
      <c r="J23" s="61"/>
      <c r="K23" s="61" t="s">
        <v>394</v>
      </c>
      <c r="L23" s="61"/>
      <c r="M23" s="61" t="s">
        <v>395</v>
      </c>
      <c r="N23" s="61" t="s">
        <v>394</v>
      </c>
    </row>
    <row r="24" spans="1:14">
      <c r="A24" s="64" t="s">
        <v>457</v>
      </c>
      <c r="B24" s="61" t="s">
        <v>394</v>
      </c>
      <c r="C24" s="61"/>
      <c r="D24" s="61" t="s">
        <v>394</v>
      </c>
      <c r="E24" s="61"/>
      <c r="F24" s="61" t="s">
        <v>394</v>
      </c>
      <c r="G24" s="61" t="s">
        <v>394</v>
      </c>
      <c r="H24" s="61"/>
      <c r="I24" s="61" t="s">
        <v>394</v>
      </c>
      <c r="J24" s="61"/>
      <c r="K24" s="61" t="s">
        <v>394</v>
      </c>
      <c r="L24" s="61"/>
      <c r="M24" s="61" t="s">
        <v>394</v>
      </c>
      <c r="N24" s="61" t="s">
        <v>394</v>
      </c>
    </row>
    <row r="25" spans="1:14">
      <c r="A25" s="64" t="s">
        <v>22</v>
      </c>
      <c r="B25" s="61" t="s">
        <v>456</v>
      </c>
      <c r="C25" s="61"/>
      <c r="D25" s="61" t="s">
        <v>456</v>
      </c>
      <c r="E25" s="61"/>
      <c r="F25" s="61" t="s">
        <v>456</v>
      </c>
      <c r="G25" s="61" t="s">
        <v>456</v>
      </c>
      <c r="H25" s="61"/>
      <c r="I25" s="61" t="s">
        <v>456</v>
      </c>
      <c r="J25" s="61"/>
      <c r="K25" s="61" t="s">
        <v>456</v>
      </c>
      <c r="L25" s="61"/>
      <c r="M25" s="61" t="s">
        <v>456</v>
      </c>
      <c r="N25" s="61" t="s">
        <v>456</v>
      </c>
    </row>
    <row r="26" spans="1:14">
      <c r="A26" s="64"/>
      <c r="B26" s="61"/>
      <c r="C26" s="61"/>
      <c r="D26" s="61"/>
      <c r="E26" s="61"/>
      <c r="F26" s="68"/>
      <c r="G26" s="68"/>
      <c r="H26" s="61"/>
      <c r="I26" s="61"/>
      <c r="J26" s="61"/>
      <c r="K26" s="61"/>
      <c r="L26" s="61"/>
      <c r="M26" s="61"/>
      <c r="N26" s="61"/>
    </row>
    <row r="27" spans="1:14">
      <c r="A27" s="64" t="s">
        <v>23</v>
      </c>
      <c r="B27" s="61" t="s">
        <v>395</v>
      </c>
      <c r="C27" s="61"/>
      <c r="D27" s="61" t="s">
        <v>394</v>
      </c>
      <c r="E27" s="61"/>
      <c r="F27" s="61" t="s">
        <v>394</v>
      </c>
      <c r="G27" s="61" t="s">
        <v>395</v>
      </c>
      <c r="H27" s="61"/>
      <c r="I27" s="61" t="s">
        <v>395</v>
      </c>
      <c r="J27" s="61"/>
      <c r="K27" s="61" t="s">
        <v>394</v>
      </c>
      <c r="L27" s="61"/>
      <c r="M27" s="61" t="s">
        <v>394</v>
      </c>
      <c r="N27" s="61" t="s">
        <v>395</v>
      </c>
    </row>
    <row r="28" spans="1:14">
      <c r="A28" s="64" t="s">
        <v>24</v>
      </c>
      <c r="B28" s="61" t="s">
        <v>395</v>
      </c>
      <c r="C28" s="61"/>
      <c r="D28" s="61" t="s">
        <v>394</v>
      </c>
      <c r="E28" s="61"/>
      <c r="F28" s="61" t="s">
        <v>394</v>
      </c>
      <c r="G28" s="61" t="s">
        <v>395</v>
      </c>
      <c r="H28" s="61"/>
      <c r="I28" s="61" t="s">
        <v>395</v>
      </c>
      <c r="J28" s="61"/>
      <c r="K28" s="61" t="s">
        <v>394</v>
      </c>
      <c r="L28" s="61"/>
      <c r="M28" s="61" t="s">
        <v>394</v>
      </c>
      <c r="N28" s="61" t="s">
        <v>395</v>
      </c>
    </row>
    <row r="29" spans="1:14">
      <c r="A29" s="64" t="s">
        <v>25</v>
      </c>
      <c r="B29" s="61" t="s">
        <v>394</v>
      </c>
      <c r="C29" s="61"/>
      <c r="D29" s="61" t="s">
        <v>394</v>
      </c>
      <c r="E29" s="61"/>
      <c r="F29" s="61" t="s">
        <v>394</v>
      </c>
      <c r="G29" s="61" t="s">
        <v>394</v>
      </c>
      <c r="H29" s="61"/>
      <c r="I29" s="61" t="s">
        <v>394</v>
      </c>
      <c r="J29" s="61"/>
      <c r="K29" s="61" t="s">
        <v>394</v>
      </c>
      <c r="L29" s="61"/>
      <c r="M29" s="61" t="s">
        <v>394</v>
      </c>
      <c r="N29" s="61" t="s">
        <v>394</v>
      </c>
    </row>
    <row r="30" spans="1:14">
      <c r="A30" s="64" t="s">
        <v>26</v>
      </c>
      <c r="B30" s="61" t="s">
        <v>394</v>
      </c>
      <c r="C30" s="61"/>
      <c r="D30" s="61" t="s">
        <v>394</v>
      </c>
      <c r="E30" s="61"/>
      <c r="F30" s="61" t="s">
        <v>394</v>
      </c>
      <c r="G30" s="61" t="s">
        <v>394</v>
      </c>
      <c r="H30" s="61"/>
      <c r="I30" s="61" t="s">
        <v>394</v>
      </c>
      <c r="J30" s="61"/>
      <c r="K30" s="61" t="s">
        <v>394</v>
      </c>
      <c r="L30" s="61"/>
      <c r="M30" s="61" t="s">
        <v>394</v>
      </c>
      <c r="N30" s="61" t="s">
        <v>394</v>
      </c>
    </row>
    <row r="31" spans="1:14">
      <c r="A31" s="64" t="s">
        <v>27</v>
      </c>
      <c r="B31" s="61" t="s">
        <v>394</v>
      </c>
      <c r="C31" s="61"/>
      <c r="D31" s="61" t="s">
        <v>394</v>
      </c>
      <c r="E31" s="61"/>
      <c r="F31" s="61" t="s">
        <v>394</v>
      </c>
      <c r="G31" s="61" t="s">
        <v>395</v>
      </c>
      <c r="H31" s="61"/>
      <c r="I31" s="61" t="s">
        <v>394</v>
      </c>
      <c r="J31" s="61"/>
      <c r="K31" s="61" t="s">
        <v>394</v>
      </c>
      <c r="L31" s="61"/>
      <c r="M31" s="61" t="s">
        <v>394</v>
      </c>
      <c r="N31" s="61" t="s">
        <v>395</v>
      </c>
    </row>
    <row r="32" spans="1:14">
      <c r="A32" s="64"/>
      <c r="B32" s="61"/>
      <c r="C32" s="61"/>
      <c r="D32" s="61"/>
      <c r="E32" s="61"/>
      <c r="F32" s="68"/>
      <c r="G32" s="68"/>
      <c r="H32" s="61"/>
      <c r="I32" s="61"/>
      <c r="J32" s="61"/>
      <c r="K32" s="61"/>
      <c r="L32" s="61"/>
      <c r="M32" s="61"/>
      <c r="N32" s="61"/>
    </row>
    <row r="33" spans="1:14">
      <c r="A33" s="64" t="s">
        <v>28</v>
      </c>
      <c r="B33" s="61" t="s">
        <v>394</v>
      </c>
      <c r="C33" s="61"/>
      <c r="D33" s="61" t="s">
        <v>394</v>
      </c>
      <c r="E33" s="61"/>
      <c r="F33" s="61" t="s">
        <v>394</v>
      </c>
      <c r="G33" s="61" t="s">
        <v>395</v>
      </c>
      <c r="H33" s="61"/>
      <c r="I33" s="61" t="s">
        <v>394</v>
      </c>
      <c r="J33" s="61"/>
      <c r="K33" s="61" t="s">
        <v>394</v>
      </c>
      <c r="L33" s="61"/>
      <c r="M33" s="61" t="s">
        <v>394</v>
      </c>
      <c r="N33" s="61" t="s">
        <v>395</v>
      </c>
    </row>
    <row r="34" spans="1:14">
      <c r="A34" s="64" t="s">
        <v>29</v>
      </c>
      <c r="B34" s="61" t="s">
        <v>394</v>
      </c>
      <c r="C34" s="61"/>
      <c r="D34" s="61" t="s">
        <v>394</v>
      </c>
      <c r="E34" s="61"/>
      <c r="F34" s="61" t="s">
        <v>395</v>
      </c>
      <c r="G34" s="61" t="s">
        <v>394</v>
      </c>
      <c r="H34" s="61"/>
      <c r="I34" s="61" t="s">
        <v>394</v>
      </c>
      <c r="J34" s="61"/>
      <c r="K34" s="61" t="s">
        <v>394</v>
      </c>
      <c r="L34" s="61"/>
      <c r="M34" s="61" t="s">
        <v>395</v>
      </c>
      <c r="N34" s="61" t="s">
        <v>394</v>
      </c>
    </row>
    <row r="35" spans="1:14">
      <c r="A35" s="64" t="s">
        <v>30</v>
      </c>
      <c r="B35" s="61" t="s">
        <v>394</v>
      </c>
      <c r="C35" s="61"/>
      <c r="D35" s="61" t="s">
        <v>394</v>
      </c>
      <c r="E35" s="61"/>
      <c r="F35" s="61" t="s">
        <v>395</v>
      </c>
      <c r="G35" s="61" t="s">
        <v>394</v>
      </c>
      <c r="H35" s="61"/>
      <c r="I35" s="61" t="s">
        <v>394</v>
      </c>
      <c r="J35" s="61"/>
      <c r="K35" s="61" t="s">
        <v>394</v>
      </c>
      <c r="L35" s="61"/>
      <c r="M35" s="61" t="s">
        <v>395</v>
      </c>
      <c r="N35" s="61" t="s">
        <v>394</v>
      </c>
    </row>
    <row r="36" spans="1:14">
      <c r="A36" s="64" t="s">
        <v>31</v>
      </c>
      <c r="B36" s="61" t="s">
        <v>394</v>
      </c>
      <c r="C36" s="61"/>
      <c r="D36" s="61" t="s">
        <v>394</v>
      </c>
      <c r="E36" s="61"/>
      <c r="F36" s="61" t="s">
        <v>394</v>
      </c>
      <c r="G36" s="61" t="s">
        <v>395</v>
      </c>
      <c r="H36" s="61"/>
      <c r="I36" s="61" t="s">
        <v>394</v>
      </c>
      <c r="J36" s="61"/>
      <c r="K36" s="61" t="s">
        <v>394</v>
      </c>
      <c r="L36" s="61"/>
      <c r="M36" s="61" t="s">
        <v>394</v>
      </c>
      <c r="N36" s="61" t="s">
        <v>395</v>
      </c>
    </row>
    <row r="37" spans="1:14">
      <c r="A37" s="64" t="s">
        <v>32</v>
      </c>
      <c r="B37" s="61" t="s">
        <v>394</v>
      </c>
      <c r="C37" s="61"/>
      <c r="D37" s="61" t="s">
        <v>394</v>
      </c>
      <c r="E37" s="61"/>
      <c r="F37" s="61" t="s">
        <v>394</v>
      </c>
      <c r="G37" s="61" t="s">
        <v>394</v>
      </c>
      <c r="H37" s="61"/>
      <c r="I37" s="61" t="s">
        <v>394</v>
      </c>
      <c r="J37" s="61"/>
      <c r="K37" s="61" t="s">
        <v>394</v>
      </c>
      <c r="L37" s="61"/>
      <c r="M37" s="61" t="s">
        <v>394</v>
      </c>
      <c r="N37" s="61" t="s">
        <v>394</v>
      </c>
    </row>
    <row r="38" spans="1:14">
      <c r="A38" s="64"/>
      <c r="B38" s="61"/>
      <c r="C38" s="61"/>
      <c r="D38" s="61"/>
      <c r="E38" s="61"/>
      <c r="F38" s="68"/>
      <c r="G38" s="68"/>
      <c r="H38" s="61"/>
      <c r="I38" s="61"/>
      <c r="J38" s="61"/>
      <c r="K38" s="61"/>
      <c r="L38" s="61"/>
      <c r="M38" s="61"/>
      <c r="N38" s="61"/>
    </row>
    <row r="39" spans="1:14">
      <c r="A39" s="64" t="s">
        <v>33</v>
      </c>
      <c r="B39" s="61" t="s">
        <v>394</v>
      </c>
      <c r="C39" s="61"/>
      <c r="D39" s="61" t="s">
        <v>394</v>
      </c>
      <c r="E39" s="61"/>
      <c r="F39" s="61" t="s">
        <v>394</v>
      </c>
      <c r="G39" s="61" t="s">
        <v>394</v>
      </c>
      <c r="H39" s="61"/>
      <c r="I39" s="61" t="s">
        <v>394</v>
      </c>
      <c r="J39" s="61"/>
      <c r="K39" s="61" t="s">
        <v>394</v>
      </c>
      <c r="L39" s="61"/>
      <c r="M39" s="61" t="s">
        <v>394</v>
      </c>
      <c r="N39" s="61" t="s">
        <v>394</v>
      </c>
    </row>
    <row r="40" spans="1:14">
      <c r="A40" s="64" t="s">
        <v>34</v>
      </c>
      <c r="B40" s="61" t="s">
        <v>395</v>
      </c>
      <c r="C40" s="61"/>
      <c r="D40" s="61" t="s">
        <v>394</v>
      </c>
      <c r="E40" s="61"/>
      <c r="F40" s="61" t="s">
        <v>395</v>
      </c>
      <c r="G40" s="61" t="s">
        <v>395</v>
      </c>
      <c r="H40" s="61"/>
      <c r="I40" s="61" t="s">
        <v>395</v>
      </c>
      <c r="J40" s="61"/>
      <c r="K40" s="61" t="s">
        <v>394</v>
      </c>
      <c r="L40" s="61"/>
      <c r="M40" s="61" t="s">
        <v>395</v>
      </c>
      <c r="N40" s="61" t="s">
        <v>395</v>
      </c>
    </row>
    <row r="41" spans="1:14">
      <c r="A41" s="64" t="s">
        <v>35</v>
      </c>
      <c r="B41" s="61" t="s">
        <v>394</v>
      </c>
      <c r="C41" s="61"/>
      <c r="D41" s="61" t="s">
        <v>394</v>
      </c>
      <c r="E41" s="61"/>
      <c r="F41" s="61" t="s">
        <v>395</v>
      </c>
      <c r="G41" s="61" t="s">
        <v>395</v>
      </c>
      <c r="H41" s="61"/>
      <c r="I41" s="61" t="s">
        <v>394</v>
      </c>
      <c r="J41" s="61"/>
      <c r="K41" s="61" t="s">
        <v>394</v>
      </c>
      <c r="L41" s="66">
        <v>6</v>
      </c>
      <c r="M41" s="61" t="s">
        <v>395</v>
      </c>
      <c r="N41" s="61" t="s">
        <v>395</v>
      </c>
    </row>
    <row r="42" spans="1:14">
      <c r="A42" s="64" t="s">
        <v>36</v>
      </c>
      <c r="B42" s="61" t="s">
        <v>394</v>
      </c>
      <c r="C42" s="61"/>
      <c r="D42" s="61" t="s">
        <v>394</v>
      </c>
      <c r="E42" s="61"/>
      <c r="F42" s="61" t="s">
        <v>395</v>
      </c>
      <c r="G42" s="61" t="s">
        <v>395</v>
      </c>
      <c r="H42" s="61"/>
      <c r="I42" s="61" t="s">
        <v>394</v>
      </c>
      <c r="J42" s="61"/>
      <c r="K42" s="61" t="s">
        <v>394</v>
      </c>
      <c r="L42" s="61"/>
      <c r="M42" s="61" t="s">
        <v>395</v>
      </c>
      <c r="N42" s="61" t="s">
        <v>395</v>
      </c>
    </row>
    <row r="43" spans="1:14">
      <c r="A43" s="64" t="s">
        <v>37</v>
      </c>
      <c r="B43" s="61" t="s">
        <v>394</v>
      </c>
      <c r="C43" s="61"/>
      <c r="D43" s="61" t="s">
        <v>394</v>
      </c>
      <c r="E43" s="61"/>
      <c r="F43" s="61" t="s">
        <v>395</v>
      </c>
      <c r="G43" s="61" t="s">
        <v>395</v>
      </c>
      <c r="H43" s="61"/>
      <c r="I43" s="61" t="s">
        <v>394</v>
      </c>
      <c r="J43" s="61"/>
      <c r="K43" s="61" t="s">
        <v>394</v>
      </c>
      <c r="L43" s="61"/>
      <c r="M43" s="61" t="s">
        <v>395</v>
      </c>
      <c r="N43" s="61" t="s">
        <v>395</v>
      </c>
    </row>
    <row r="44" spans="1:14">
      <c r="A44" s="64"/>
      <c r="B44" s="61"/>
      <c r="C44" s="61"/>
      <c r="D44" s="61"/>
      <c r="E44" s="61"/>
      <c r="F44" s="68"/>
      <c r="G44" s="68"/>
      <c r="H44" s="61"/>
      <c r="I44" s="61"/>
      <c r="J44" s="61"/>
      <c r="K44" s="61"/>
      <c r="L44" s="61"/>
      <c r="M44" s="61"/>
      <c r="N44" s="61"/>
    </row>
    <row r="45" spans="1:14">
      <c r="A45" s="64" t="s">
        <v>38</v>
      </c>
      <c r="B45" s="61" t="s">
        <v>394</v>
      </c>
      <c r="C45" s="61"/>
      <c r="D45" s="61" t="s">
        <v>394</v>
      </c>
      <c r="E45" s="61"/>
      <c r="F45" s="61" t="s">
        <v>395</v>
      </c>
      <c r="G45" s="61" t="s">
        <v>394</v>
      </c>
      <c r="H45" s="61"/>
      <c r="I45" s="61" t="s">
        <v>394</v>
      </c>
      <c r="J45" s="61"/>
      <c r="K45" s="61" t="s">
        <v>394</v>
      </c>
      <c r="L45" s="61"/>
      <c r="M45" s="61" t="s">
        <v>395</v>
      </c>
      <c r="N45" s="61" t="s">
        <v>394</v>
      </c>
    </row>
    <row r="46" spans="1:14">
      <c r="A46" s="64" t="s">
        <v>39</v>
      </c>
      <c r="B46" s="61" t="s">
        <v>394</v>
      </c>
      <c r="C46" s="61"/>
      <c r="D46" s="61" t="s">
        <v>394</v>
      </c>
      <c r="E46" s="61"/>
      <c r="F46" s="61" t="s">
        <v>394</v>
      </c>
      <c r="G46" s="61" t="s">
        <v>394</v>
      </c>
      <c r="H46" s="61"/>
      <c r="I46" s="61" t="s">
        <v>394</v>
      </c>
      <c r="J46" s="61"/>
      <c r="K46" s="61" t="s">
        <v>394</v>
      </c>
      <c r="L46" s="61"/>
      <c r="M46" s="61" t="s">
        <v>394</v>
      </c>
      <c r="N46" s="61" t="s">
        <v>394</v>
      </c>
    </row>
    <row r="47" spans="1:14">
      <c r="A47" s="64" t="s">
        <v>40</v>
      </c>
      <c r="B47" s="61" t="s">
        <v>394</v>
      </c>
      <c r="C47" s="66">
        <v>7</v>
      </c>
      <c r="D47" s="61" t="s">
        <v>394</v>
      </c>
      <c r="E47" s="61"/>
      <c r="F47" s="61" t="s">
        <v>394</v>
      </c>
      <c r="G47" s="61" t="s">
        <v>394</v>
      </c>
      <c r="H47" s="61"/>
      <c r="I47" s="61" t="s">
        <v>394</v>
      </c>
      <c r="J47" s="66">
        <v>7</v>
      </c>
      <c r="K47" s="61" t="s">
        <v>394</v>
      </c>
      <c r="L47" s="61"/>
      <c r="M47" s="61" t="s">
        <v>394</v>
      </c>
      <c r="N47" s="61" t="s">
        <v>394</v>
      </c>
    </row>
    <row r="48" spans="1:14">
      <c r="A48" s="64" t="s">
        <v>41</v>
      </c>
      <c r="B48" s="61" t="s">
        <v>394</v>
      </c>
      <c r="C48" s="61"/>
      <c r="D48" s="61" t="s">
        <v>394</v>
      </c>
      <c r="E48" s="61"/>
      <c r="F48" s="61" t="s">
        <v>394</v>
      </c>
      <c r="G48" s="61" t="s">
        <v>394</v>
      </c>
      <c r="H48" s="61"/>
      <c r="I48" s="61" t="s">
        <v>394</v>
      </c>
      <c r="J48" s="61"/>
      <c r="K48" s="61" t="s">
        <v>394</v>
      </c>
      <c r="L48" s="61"/>
      <c r="M48" s="61" t="s">
        <v>394</v>
      </c>
      <c r="N48" s="61" t="s">
        <v>394</v>
      </c>
    </row>
    <row r="49" spans="1:14">
      <c r="A49" s="64" t="s">
        <v>42</v>
      </c>
      <c r="B49" s="61" t="s">
        <v>394</v>
      </c>
      <c r="C49" s="61"/>
      <c r="D49" s="61" t="s">
        <v>394</v>
      </c>
      <c r="E49" s="61"/>
      <c r="F49" s="61" t="s">
        <v>394</v>
      </c>
      <c r="G49" s="61" t="s">
        <v>394</v>
      </c>
      <c r="H49" s="61"/>
      <c r="I49" s="61" t="s">
        <v>394</v>
      </c>
      <c r="J49" s="61"/>
      <c r="K49" s="61" t="s">
        <v>394</v>
      </c>
      <c r="L49" s="61"/>
      <c r="M49" s="61" t="s">
        <v>394</v>
      </c>
      <c r="N49" s="61" t="s">
        <v>394</v>
      </c>
    </row>
    <row r="50" spans="1:14">
      <c r="A50" s="64"/>
      <c r="B50" s="61"/>
      <c r="C50" s="61"/>
      <c r="D50" s="61"/>
      <c r="E50" s="61"/>
      <c r="F50" s="68"/>
      <c r="G50" s="68"/>
      <c r="H50" s="61"/>
      <c r="I50" s="61"/>
      <c r="J50" s="61"/>
      <c r="K50" s="61"/>
      <c r="L50" s="61"/>
      <c r="M50" s="61"/>
      <c r="N50" s="61"/>
    </row>
    <row r="51" spans="1:14">
      <c r="A51" s="64" t="s">
        <v>43</v>
      </c>
      <c r="B51" s="61" t="s">
        <v>395</v>
      </c>
      <c r="C51" s="61"/>
      <c r="D51" s="61" t="s">
        <v>394</v>
      </c>
      <c r="E51" s="61"/>
      <c r="F51" s="61" t="s">
        <v>394</v>
      </c>
      <c r="G51" s="61" t="s">
        <v>394</v>
      </c>
      <c r="H51" s="61"/>
      <c r="I51" s="61" t="s">
        <v>395</v>
      </c>
      <c r="J51" s="61"/>
      <c r="K51" s="61" t="s">
        <v>394</v>
      </c>
      <c r="L51" s="61"/>
      <c r="M51" s="61" t="s">
        <v>394</v>
      </c>
      <c r="N51" s="61" t="s">
        <v>394</v>
      </c>
    </row>
    <row r="52" spans="1:14">
      <c r="A52" s="64" t="s">
        <v>44</v>
      </c>
      <c r="B52" s="61" t="s">
        <v>456</v>
      </c>
      <c r="C52" s="61"/>
      <c r="D52" s="61" t="s">
        <v>456</v>
      </c>
      <c r="E52" s="61"/>
      <c r="F52" s="61" t="s">
        <v>456</v>
      </c>
      <c r="G52" s="61" t="s">
        <v>456</v>
      </c>
      <c r="H52" s="61"/>
      <c r="I52" s="61" t="s">
        <v>456</v>
      </c>
      <c r="J52" s="61"/>
      <c r="K52" s="61" t="s">
        <v>456</v>
      </c>
      <c r="L52" s="61"/>
      <c r="M52" s="61" t="s">
        <v>456</v>
      </c>
      <c r="N52" s="61" t="s">
        <v>456</v>
      </c>
    </row>
    <row r="53" spans="1:14">
      <c r="A53" s="64" t="s">
        <v>45</v>
      </c>
      <c r="B53" s="61" t="s">
        <v>395</v>
      </c>
      <c r="C53" s="61"/>
      <c r="D53" s="61" t="s">
        <v>394</v>
      </c>
      <c r="E53" s="61"/>
      <c r="F53" s="61" t="s">
        <v>395</v>
      </c>
      <c r="G53" s="61" t="s">
        <v>394</v>
      </c>
      <c r="H53" s="61"/>
      <c r="I53" s="61" t="s">
        <v>395</v>
      </c>
      <c r="J53" s="61"/>
      <c r="K53" s="61" t="s">
        <v>394</v>
      </c>
      <c r="L53" s="61"/>
      <c r="M53" s="61" t="s">
        <v>395</v>
      </c>
      <c r="N53" s="61" t="s">
        <v>394</v>
      </c>
    </row>
    <row r="54" spans="1:14">
      <c r="A54" s="64" t="s">
        <v>46</v>
      </c>
      <c r="B54" s="61" t="s">
        <v>394</v>
      </c>
      <c r="C54" s="61"/>
      <c r="D54" s="61" t="s">
        <v>394</v>
      </c>
      <c r="E54" s="61"/>
      <c r="F54" s="61" t="s">
        <v>395</v>
      </c>
      <c r="G54" s="61" t="s">
        <v>394</v>
      </c>
      <c r="H54" s="61"/>
      <c r="I54" s="61" t="s">
        <v>394</v>
      </c>
      <c r="J54" s="61"/>
      <c r="K54" s="61" t="s">
        <v>394</v>
      </c>
      <c r="L54" s="61"/>
      <c r="M54" s="61" t="s">
        <v>395</v>
      </c>
      <c r="N54" s="61" t="s">
        <v>394</v>
      </c>
    </row>
    <row r="55" spans="1:14">
      <c r="A55" s="64" t="s">
        <v>47</v>
      </c>
      <c r="B55" s="61" t="s">
        <v>394</v>
      </c>
      <c r="C55" s="66">
        <v>8</v>
      </c>
      <c r="D55" s="61" t="s">
        <v>394</v>
      </c>
      <c r="E55" s="61"/>
      <c r="F55" s="61" t="s">
        <v>394</v>
      </c>
      <c r="G55" s="61" t="s">
        <v>394</v>
      </c>
      <c r="H55" s="61"/>
      <c r="I55" s="61" t="s">
        <v>394</v>
      </c>
      <c r="J55" s="66">
        <v>8</v>
      </c>
      <c r="K55" s="61" t="s">
        <v>394</v>
      </c>
      <c r="L55" s="61"/>
      <c r="M55" s="61" t="s">
        <v>394</v>
      </c>
      <c r="N55" s="61" t="s">
        <v>394</v>
      </c>
    </row>
    <row r="56" spans="1:14">
      <c r="A56" s="64"/>
      <c r="B56" s="61"/>
      <c r="C56" s="61"/>
      <c r="D56" s="61"/>
      <c r="E56" s="61"/>
      <c r="F56" s="68"/>
      <c r="G56" s="68"/>
      <c r="H56" s="61"/>
      <c r="I56" s="61"/>
      <c r="J56" s="61"/>
      <c r="K56" s="61"/>
      <c r="L56" s="61"/>
      <c r="M56" s="61"/>
      <c r="N56" s="61"/>
    </row>
    <row r="57" spans="1:14">
      <c r="A57" s="64" t="s">
        <v>48</v>
      </c>
      <c r="B57" s="61" t="s">
        <v>395</v>
      </c>
      <c r="C57" s="66">
        <v>9</v>
      </c>
      <c r="D57" s="61" t="s">
        <v>394</v>
      </c>
      <c r="E57" s="61"/>
      <c r="F57" s="61" t="s">
        <v>394</v>
      </c>
      <c r="G57" s="61" t="s">
        <v>395</v>
      </c>
      <c r="H57" s="61"/>
      <c r="I57" s="61" t="s">
        <v>395</v>
      </c>
      <c r="J57" s="66">
        <v>9</v>
      </c>
      <c r="K57" s="61" t="s">
        <v>394</v>
      </c>
      <c r="L57" s="61"/>
      <c r="M57" s="61" t="s">
        <v>394</v>
      </c>
      <c r="N57" s="61" t="s">
        <v>395</v>
      </c>
    </row>
    <row r="58" spans="1:14">
      <c r="A58" s="64" t="s">
        <v>49</v>
      </c>
      <c r="B58" s="61" t="s">
        <v>394</v>
      </c>
      <c r="C58" s="61"/>
      <c r="D58" s="61" t="s">
        <v>394</v>
      </c>
      <c r="E58" s="61"/>
      <c r="F58" s="61" t="s">
        <v>394</v>
      </c>
      <c r="G58" s="61" t="s">
        <v>395</v>
      </c>
      <c r="H58" s="61"/>
      <c r="I58" s="61" t="s">
        <v>394</v>
      </c>
      <c r="J58" s="61"/>
      <c r="K58" s="61" t="s">
        <v>394</v>
      </c>
      <c r="L58" s="61"/>
      <c r="M58" s="61" t="s">
        <v>394</v>
      </c>
      <c r="N58" s="61" t="s">
        <v>395</v>
      </c>
    </row>
    <row r="59" spans="1:14">
      <c r="A59" s="64" t="s">
        <v>50</v>
      </c>
      <c r="B59" s="61" t="s">
        <v>394</v>
      </c>
      <c r="C59" s="61"/>
      <c r="D59" s="61" t="s">
        <v>394</v>
      </c>
      <c r="E59" s="61"/>
      <c r="F59" s="61" t="s">
        <v>394</v>
      </c>
      <c r="G59" s="61" t="s">
        <v>395</v>
      </c>
      <c r="H59" s="61"/>
      <c r="I59" s="61" t="s">
        <v>394</v>
      </c>
      <c r="J59" s="61"/>
      <c r="K59" s="61" t="s">
        <v>394</v>
      </c>
      <c r="L59" s="61"/>
      <c r="M59" s="61" t="s">
        <v>394</v>
      </c>
      <c r="N59" s="61" t="s">
        <v>395</v>
      </c>
    </row>
    <row r="60" spans="1:14">
      <c r="A60" s="64" t="s">
        <v>51</v>
      </c>
      <c r="B60" s="61" t="s">
        <v>394</v>
      </c>
      <c r="C60" s="61"/>
      <c r="D60" s="61" t="s">
        <v>394</v>
      </c>
      <c r="E60" s="61"/>
      <c r="F60" s="61" t="s">
        <v>394</v>
      </c>
      <c r="G60" s="61" t="s">
        <v>394</v>
      </c>
      <c r="H60" s="61"/>
      <c r="I60" s="61" t="s">
        <v>394</v>
      </c>
      <c r="J60" s="61"/>
      <c r="K60" s="61" t="s">
        <v>394</v>
      </c>
      <c r="L60" s="61"/>
      <c r="M60" s="61" t="s">
        <v>394</v>
      </c>
      <c r="N60" s="61" t="s">
        <v>394</v>
      </c>
    </row>
    <row r="61" spans="1:14">
      <c r="A61" s="64" t="s">
        <v>52</v>
      </c>
      <c r="B61" s="61" t="s">
        <v>394</v>
      </c>
      <c r="C61" s="61"/>
      <c r="D61" s="61" t="s">
        <v>394</v>
      </c>
      <c r="E61" s="61"/>
      <c r="F61" s="61" t="s">
        <v>395</v>
      </c>
      <c r="G61" s="61" t="s">
        <v>394</v>
      </c>
      <c r="H61" s="61"/>
      <c r="I61" s="61" t="s">
        <v>394</v>
      </c>
      <c r="J61" s="61"/>
      <c r="K61" s="61" t="s">
        <v>394</v>
      </c>
      <c r="L61" s="61"/>
      <c r="M61" s="61" t="s">
        <v>395</v>
      </c>
      <c r="N61" s="61" t="s">
        <v>394</v>
      </c>
    </row>
    <row r="62" spans="1:14">
      <c r="A62" s="64"/>
      <c r="B62" s="61"/>
      <c r="C62" s="61"/>
      <c r="D62" s="61"/>
      <c r="E62" s="61"/>
      <c r="F62" s="68"/>
      <c r="G62" s="68"/>
      <c r="H62" s="61"/>
      <c r="I62" s="61"/>
      <c r="J62" s="61"/>
      <c r="K62" s="61"/>
      <c r="L62" s="61"/>
      <c r="M62" s="61"/>
      <c r="N62" s="61"/>
    </row>
    <row r="63" spans="1:14">
      <c r="A63" s="64" t="s">
        <v>53</v>
      </c>
      <c r="B63" s="61" t="s">
        <v>394</v>
      </c>
      <c r="C63" s="61"/>
      <c r="D63" s="61" t="s">
        <v>394</v>
      </c>
      <c r="E63" s="61"/>
      <c r="F63" s="61" t="s">
        <v>395</v>
      </c>
      <c r="G63" s="61" t="s">
        <v>395</v>
      </c>
      <c r="H63" s="61"/>
      <c r="I63" s="61" t="s">
        <v>394</v>
      </c>
      <c r="J63" s="61"/>
      <c r="K63" s="61" t="s">
        <v>394</v>
      </c>
      <c r="L63" s="61"/>
      <c r="M63" s="61" t="s">
        <v>395</v>
      </c>
      <c r="N63" s="61" t="s">
        <v>395</v>
      </c>
    </row>
    <row r="64" spans="1:14">
      <c r="A64" s="64" t="s">
        <v>54</v>
      </c>
      <c r="B64" s="61" t="s">
        <v>394</v>
      </c>
      <c r="C64" s="61"/>
      <c r="D64" s="61" t="s">
        <v>394</v>
      </c>
      <c r="E64" s="61"/>
      <c r="F64" s="61" t="s">
        <v>394</v>
      </c>
      <c r="G64" s="61" t="s">
        <v>395</v>
      </c>
      <c r="H64" s="61"/>
      <c r="I64" s="61" t="s">
        <v>394</v>
      </c>
      <c r="J64" s="61"/>
      <c r="K64" s="61" t="s">
        <v>394</v>
      </c>
      <c r="L64" s="61"/>
      <c r="M64" s="61" t="s">
        <v>394</v>
      </c>
      <c r="N64" s="61" t="s">
        <v>395</v>
      </c>
    </row>
    <row r="65" spans="1:14">
      <c r="A65" s="64" t="s">
        <v>55</v>
      </c>
      <c r="B65" s="61" t="s">
        <v>394</v>
      </c>
      <c r="C65" s="61"/>
      <c r="D65" s="61" t="s">
        <v>394</v>
      </c>
      <c r="E65" s="61"/>
      <c r="F65" s="61" t="s">
        <v>395</v>
      </c>
      <c r="G65" s="61" t="s">
        <v>394</v>
      </c>
      <c r="H65" s="61"/>
      <c r="I65" s="61" t="s">
        <v>394</v>
      </c>
      <c r="J65" s="61"/>
      <c r="K65" s="61" t="s">
        <v>394</v>
      </c>
      <c r="L65" s="61"/>
      <c r="M65" s="61" t="s">
        <v>395</v>
      </c>
      <c r="N65" s="61" t="s">
        <v>394</v>
      </c>
    </row>
    <row r="66" spans="1:14">
      <c r="A66" s="64" t="s">
        <v>56</v>
      </c>
      <c r="B66" s="61" t="s">
        <v>394</v>
      </c>
      <c r="C66" s="61"/>
      <c r="D66" s="61" t="s">
        <v>394</v>
      </c>
      <c r="E66" s="61"/>
      <c r="F66" s="61" t="s">
        <v>394</v>
      </c>
      <c r="G66" s="61" t="s">
        <v>394</v>
      </c>
      <c r="H66" s="61"/>
      <c r="I66" s="61" t="s">
        <v>394</v>
      </c>
      <c r="J66" s="61"/>
      <c r="K66" s="61" t="s">
        <v>394</v>
      </c>
      <c r="L66" s="61"/>
      <c r="M66" s="61" t="s">
        <v>394</v>
      </c>
      <c r="N66" s="61" t="s">
        <v>394</v>
      </c>
    </row>
    <row r="67" spans="1:14">
      <c r="A67" s="64" t="s">
        <v>57</v>
      </c>
      <c r="B67" s="61" t="s">
        <v>394</v>
      </c>
      <c r="C67" s="61"/>
      <c r="D67" s="61" t="s">
        <v>394</v>
      </c>
      <c r="E67" s="61"/>
      <c r="F67" s="61" t="s">
        <v>395</v>
      </c>
      <c r="G67" s="61" t="s">
        <v>394</v>
      </c>
      <c r="H67" s="61"/>
      <c r="I67" s="61" t="s">
        <v>394</v>
      </c>
      <c r="J67" s="61"/>
      <c r="K67" s="61" t="s">
        <v>394</v>
      </c>
      <c r="L67" s="61"/>
      <c r="M67" s="61" t="s">
        <v>395</v>
      </c>
      <c r="N67" s="61" t="s">
        <v>394</v>
      </c>
    </row>
    <row r="68" spans="1:14" ht="15.75" thickBot="1">
      <c r="A68" s="64" t="s">
        <v>58</v>
      </c>
      <c r="B68" s="61" t="s">
        <v>395</v>
      </c>
      <c r="C68" s="61"/>
      <c r="D68" s="61" t="s">
        <v>395</v>
      </c>
      <c r="E68" s="61"/>
      <c r="F68" s="61" t="s">
        <v>395</v>
      </c>
      <c r="G68" s="61" t="s">
        <v>395</v>
      </c>
      <c r="H68" s="61"/>
      <c r="I68" s="61" t="s">
        <v>395</v>
      </c>
      <c r="J68" s="61"/>
      <c r="K68" s="61" t="s">
        <v>395</v>
      </c>
      <c r="L68" s="61"/>
      <c r="M68" s="61" t="s">
        <v>395</v>
      </c>
      <c r="N68" s="61" t="s">
        <v>395</v>
      </c>
    </row>
    <row r="69" spans="1:14">
      <c r="A69" s="112" t="s">
        <v>458</v>
      </c>
      <c r="B69" s="112"/>
      <c r="C69" s="112"/>
      <c r="D69" s="112"/>
      <c r="E69" s="112"/>
      <c r="F69" s="112"/>
      <c r="G69" s="112"/>
      <c r="H69" s="112"/>
      <c r="I69" s="112"/>
      <c r="J69" s="112"/>
      <c r="K69" s="112"/>
      <c r="L69" s="112"/>
      <c r="M69" s="112"/>
      <c r="N69" s="112"/>
    </row>
    <row r="70" spans="1:14">
      <c r="A70" s="109" t="s">
        <v>459</v>
      </c>
      <c r="B70" s="109"/>
      <c r="C70" s="109"/>
      <c r="D70" s="109"/>
      <c r="E70" s="109"/>
      <c r="F70" s="109"/>
      <c r="G70" s="109"/>
      <c r="H70" s="109"/>
      <c r="I70" s="109"/>
      <c r="J70" s="109"/>
      <c r="K70" s="109"/>
      <c r="L70" s="109"/>
      <c r="M70" s="109"/>
      <c r="N70" s="109"/>
    </row>
    <row r="71" spans="1:14" ht="22.5" customHeight="1">
      <c r="A71" s="109" t="s">
        <v>460</v>
      </c>
      <c r="B71" s="109"/>
      <c r="C71" s="109"/>
      <c r="D71" s="109"/>
      <c r="E71" s="109"/>
      <c r="F71" s="109"/>
      <c r="G71" s="109"/>
      <c r="H71" s="109"/>
      <c r="I71" s="109"/>
      <c r="J71" s="109"/>
      <c r="K71" s="109"/>
      <c r="L71" s="109"/>
      <c r="M71" s="109"/>
      <c r="N71" s="109"/>
    </row>
    <row r="72" spans="1:14">
      <c r="A72" s="104" t="s">
        <v>461</v>
      </c>
      <c r="B72" s="104"/>
      <c r="C72" s="104"/>
      <c r="D72" s="104"/>
      <c r="E72" s="104"/>
      <c r="F72" s="104"/>
      <c r="G72" s="104"/>
      <c r="H72" s="104"/>
      <c r="I72" s="104"/>
      <c r="J72" s="104"/>
      <c r="K72" s="104"/>
      <c r="L72" s="104"/>
      <c r="M72" s="104"/>
      <c r="N72" s="104"/>
    </row>
    <row r="73" spans="1:14" ht="56.25" customHeight="1">
      <c r="A73" s="109" t="s">
        <v>462</v>
      </c>
      <c r="B73" s="109"/>
      <c r="C73" s="109"/>
      <c r="D73" s="109"/>
      <c r="E73" s="109"/>
      <c r="F73" s="109"/>
      <c r="G73" s="109"/>
      <c r="H73" s="109"/>
      <c r="I73" s="109"/>
      <c r="J73" s="109"/>
      <c r="K73" s="109"/>
      <c r="L73" s="109"/>
      <c r="M73" s="109"/>
      <c r="N73" s="109"/>
    </row>
    <row r="74" spans="1:14" ht="33.75" customHeight="1">
      <c r="A74" s="109" t="s">
        <v>463</v>
      </c>
      <c r="B74" s="109"/>
      <c r="C74" s="109"/>
      <c r="D74" s="109"/>
      <c r="E74" s="109"/>
      <c r="F74" s="109"/>
      <c r="G74" s="109"/>
      <c r="H74" s="109"/>
      <c r="I74" s="109"/>
      <c r="J74" s="109"/>
      <c r="K74" s="109"/>
      <c r="L74" s="109"/>
      <c r="M74" s="109"/>
      <c r="N74" s="109"/>
    </row>
    <row r="75" spans="1:14" ht="15" customHeight="1">
      <c r="A75" s="108" t="s">
        <v>464</v>
      </c>
      <c r="B75" s="108"/>
      <c r="C75" s="108"/>
      <c r="D75" s="108"/>
      <c r="E75" s="108"/>
      <c r="F75" s="108"/>
      <c r="G75" s="108"/>
      <c r="H75" s="108"/>
      <c r="I75" s="108"/>
      <c r="J75" s="108"/>
      <c r="K75" s="108"/>
      <c r="L75" s="108"/>
      <c r="M75" s="108"/>
      <c r="N75" s="108"/>
    </row>
    <row r="76" spans="1:14">
      <c r="A76" s="106" t="s">
        <v>465</v>
      </c>
      <c r="B76" s="106"/>
      <c r="C76" s="106"/>
      <c r="D76" s="106"/>
      <c r="E76" s="106"/>
      <c r="F76" s="106"/>
      <c r="G76" s="106"/>
      <c r="H76" s="106"/>
      <c r="I76" s="106"/>
      <c r="J76" s="106"/>
      <c r="K76" s="106"/>
      <c r="L76" s="106"/>
      <c r="M76" s="106"/>
      <c r="N76" s="106"/>
    </row>
    <row r="77" spans="1:14">
      <c r="A77" s="106" t="s">
        <v>466</v>
      </c>
      <c r="B77" s="106"/>
      <c r="C77" s="106"/>
      <c r="D77" s="106"/>
      <c r="E77" s="106"/>
      <c r="F77" s="106"/>
      <c r="G77" s="106"/>
      <c r="H77" s="106"/>
      <c r="I77" s="106"/>
      <c r="J77" s="106"/>
      <c r="K77" s="106"/>
      <c r="L77" s="106"/>
      <c r="M77" s="106"/>
      <c r="N77" s="106"/>
    </row>
    <row r="78" spans="1:14">
      <c r="A78" s="109" t="s">
        <v>467</v>
      </c>
      <c r="B78" s="109"/>
      <c r="C78" s="109"/>
      <c r="D78" s="109"/>
      <c r="E78" s="109"/>
      <c r="F78" s="109"/>
      <c r="G78" s="109"/>
      <c r="H78" s="109"/>
      <c r="I78" s="109"/>
      <c r="J78" s="109"/>
      <c r="K78" s="109"/>
      <c r="L78" s="109"/>
      <c r="M78" s="109"/>
      <c r="N78" s="109"/>
    </row>
    <row r="79" spans="1:14" ht="22.5" customHeight="1">
      <c r="A79" s="110" t="s">
        <v>468</v>
      </c>
      <c r="B79" s="110"/>
      <c r="C79" s="110"/>
      <c r="D79" s="110"/>
      <c r="E79" s="110"/>
      <c r="F79" s="110"/>
      <c r="G79" s="110"/>
      <c r="H79" s="110"/>
      <c r="I79" s="110"/>
      <c r="J79" s="110"/>
      <c r="K79" s="110"/>
      <c r="L79" s="110"/>
      <c r="M79" s="110"/>
      <c r="N79" s="110"/>
    </row>
  </sheetData>
  <mergeCells count="19">
    <mergeCell ref="A73:N73"/>
    <mergeCell ref="A74:N74"/>
    <mergeCell ref="B3:G3"/>
    <mergeCell ref="I3:N3"/>
    <mergeCell ref="A4:A6"/>
    <mergeCell ref="C4:C6"/>
    <mergeCell ref="E4:E6"/>
    <mergeCell ref="J4:J6"/>
    <mergeCell ref="L4:L6"/>
    <mergeCell ref="A1:N1"/>
    <mergeCell ref="A69:N69"/>
    <mergeCell ref="A70:N70"/>
    <mergeCell ref="A71:N71"/>
    <mergeCell ref="A72:N72"/>
    <mergeCell ref="A75:N75"/>
    <mergeCell ref="A76:N76"/>
    <mergeCell ref="A77:N77"/>
    <mergeCell ref="A78:N78"/>
    <mergeCell ref="A79:N79"/>
  </mergeCells>
  <hyperlinks>
    <hyperlink ref="A75" r:id="rId1" display="https://nces.ed.gov/transfer.asp?location=education.ne.gov/EducatorPrep/IHE/SkillsTesting/ContentTestScores.pdf" xr:uid="{898A6AE3-9D5B-42C1-8C13-CE5FCD7C53F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DEE4C-2BEB-46A6-ADE3-93908F554140}">
  <dimension ref="A1:Q84"/>
  <sheetViews>
    <sheetView topLeftCell="A2" workbookViewId="0">
      <selection activeCell="Q13" sqref="Q13"/>
    </sheetView>
  </sheetViews>
  <sheetFormatPr defaultRowHeight="15"/>
  <cols>
    <col min="1" max="1" width="16.5703125" customWidth="1"/>
    <col min="5" max="5" width="14.140625" customWidth="1"/>
    <col min="12" max="12" width="12.28515625" customWidth="1"/>
  </cols>
  <sheetData>
    <row r="1" spans="1:17">
      <c r="A1" s="24">
        <v>45117</v>
      </c>
      <c r="B1" s="23"/>
      <c r="C1" s="23"/>
      <c r="D1" s="23"/>
      <c r="E1" s="23"/>
      <c r="F1" s="23"/>
      <c r="G1" s="23"/>
      <c r="H1" s="23"/>
      <c r="I1" s="23"/>
      <c r="J1" s="23"/>
      <c r="K1" s="23"/>
      <c r="L1" s="23"/>
    </row>
    <row r="2" spans="1:17">
      <c r="A2" s="25" t="s">
        <v>469</v>
      </c>
      <c r="B2" s="26"/>
      <c r="C2" s="26"/>
      <c r="D2" s="26"/>
      <c r="E2" s="26"/>
      <c r="F2" s="26"/>
      <c r="G2" s="26"/>
      <c r="H2" s="26"/>
      <c r="I2" s="26"/>
      <c r="J2" s="26"/>
      <c r="K2" s="26"/>
      <c r="L2" s="26"/>
    </row>
    <row r="3" spans="1:17">
      <c r="A3" s="26" t="s">
        <v>470</v>
      </c>
      <c r="B3" s="26"/>
      <c r="C3" s="26"/>
      <c r="D3" s="26"/>
      <c r="E3" s="26"/>
      <c r="F3" s="26"/>
      <c r="G3" s="26"/>
      <c r="H3" s="26"/>
      <c r="I3" s="26"/>
      <c r="J3" s="26"/>
      <c r="K3" s="26"/>
      <c r="L3" s="26"/>
    </row>
    <row r="4" spans="1:17" ht="15.75" thickBot="1">
      <c r="A4" s="23"/>
      <c r="B4" s="23"/>
      <c r="C4" s="23"/>
      <c r="D4" s="23"/>
      <c r="E4" s="23"/>
      <c r="F4" s="23"/>
      <c r="G4" s="23"/>
      <c r="H4" s="23"/>
      <c r="I4" s="23"/>
      <c r="J4" s="23"/>
      <c r="K4" s="23"/>
      <c r="L4" s="23"/>
    </row>
    <row r="5" spans="1:17" ht="15.75" thickTop="1">
      <c r="A5" s="27"/>
      <c r="B5" s="28"/>
      <c r="C5" s="28"/>
      <c r="D5" s="29" t="s">
        <v>471</v>
      </c>
      <c r="E5" s="30"/>
      <c r="F5" s="30"/>
      <c r="G5" s="30"/>
      <c r="H5" s="30"/>
      <c r="I5" s="30"/>
      <c r="J5" s="30"/>
      <c r="K5" s="30"/>
      <c r="L5" s="31"/>
    </row>
    <row r="6" spans="1:17">
      <c r="A6" s="23"/>
      <c r="B6" s="32"/>
      <c r="C6" s="21"/>
      <c r="D6" s="33"/>
      <c r="E6" s="34" t="s">
        <v>472</v>
      </c>
      <c r="F6" s="33"/>
      <c r="G6" s="33"/>
      <c r="H6" s="33"/>
      <c r="I6" s="33"/>
      <c r="J6" s="33"/>
      <c r="K6" s="34"/>
      <c r="L6" s="35" t="s">
        <v>473</v>
      </c>
    </row>
    <row r="7" spans="1:17">
      <c r="A7" s="36" t="s">
        <v>474</v>
      </c>
      <c r="B7" s="21"/>
      <c r="C7" s="21" t="s">
        <v>475</v>
      </c>
      <c r="D7" s="21"/>
      <c r="E7" s="21" t="s">
        <v>476</v>
      </c>
      <c r="F7" s="21" t="s">
        <v>477</v>
      </c>
      <c r="G7" s="21" t="s">
        <v>478</v>
      </c>
      <c r="H7" s="21" t="s">
        <v>479</v>
      </c>
      <c r="I7" s="21"/>
      <c r="J7" s="21"/>
      <c r="K7" s="37" t="s">
        <v>480</v>
      </c>
      <c r="L7" s="37" t="s">
        <v>481</v>
      </c>
      <c r="N7" t="s">
        <v>482</v>
      </c>
    </row>
    <row r="8" spans="1:17">
      <c r="A8" s="38"/>
      <c r="B8" s="22" t="s">
        <v>483</v>
      </c>
      <c r="C8" s="22" t="s">
        <v>484</v>
      </c>
      <c r="D8" s="22" t="s">
        <v>483</v>
      </c>
      <c r="E8" s="22" t="s">
        <v>485</v>
      </c>
      <c r="F8" s="22" t="s">
        <v>485</v>
      </c>
      <c r="G8" s="22" t="s">
        <v>486</v>
      </c>
      <c r="H8" s="22" t="s">
        <v>487</v>
      </c>
      <c r="I8" s="22" t="s">
        <v>488</v>
      </c>
      <c r="J8" s="22" t="s">
        <v>489</v>
      </c>
      <c r="K8" s="39" t="s">
        <v>490</v>
      </c>
      <c r="L8" s="39" t="s">
        <v>491</v>
      </c>
      <c r="O8" s="77" t="s">
        <v>492</v>
      </c>
      <c r="P8" s="77" t="s">
        <v>493</v>
      </c>
      <c r="Q8" s="77" t="s">
        <v>494</v>
      </c>
    </row>
    <row r="9" spans="1:17">
      <c r="A9" s="40"/>
      <c r="B9" s="41"/>
      <c r="C9" s="41"/>
      <c r="D9" s="41"/>
      <c r="E9" s="41"/>
      <c r="F9" s="41"/>
      <c r="G9" s="41"/>
      <c r="H9" s="41"/>
      <c r="I9" s="41"/>
      <c r="J9" s="41"/>
      <c r="K9" s="42"/>
      <c r="L9" s="43"/>
      <c r="N9" t="s">
        <v>9</v>
      </c>
      <c r="O9" s="76">
        <f>MAX(D12:D78)</f>
        <v>25061.194</v>
      </c>
      <c r="P9" s="76">
        <f>MAX(E12:E78)</f>
        <v>4952.1943000000001</v>
      </c>
      <c r="Q9" s="76">
        <f>MAX(F12:F78)</f>
        <v>1718.2748999999999</v>
      </c>
    </row>
    <row r="10" spans="1:17">
      <c r="A10" s="44" t="s">
        <v>495</v>
      </c>
      <c r="B10" s="51">
        <v>11097.361999999999</v>
      </c>
      <c r="C10" s="51">
        <v>10.362686999999999</v>
      </c>
      <c r="D10" s="51">
        <v>11086.999</v>
      </c>
      <c r="E10" s="51">
        <v>2276.7725999999998</v>
      </c>
      <c r="F10" s="51">
        <v>937.98535000000004</v>
      </c>
      <c r="G10" s="51">
        <v>2596.9054000000001</v>
      </c>
      <c r="H10" s="51">
        <v>1135.8887999999999</v>
      </c>
      <c r="I10" s="51">
        <v>621.73577</v>
      </c>
      <c r="J10" s="51">
        <v>406.51677000000001</v>
      </c>
      <c r="K10" s="52">
        <v>3111.1943000000001</v>
      </c>
      <c r="L10" s="52">
        <v>332031.554</v>
      </c>
      <c r="N10" t="s">
        <v>11</v>
      </c>
      <c r="O10" s="76">
        <f>MIN(D12:D78)</f>
        <v>7970.9974000000002</v>
      </c>
      <c r="P10" s="76">
        <f>MIN(E12:E78)</f>
        <v>1381.0951</v>
      </c>
      <c r="Q10" s="76">
        <f>MIN(F12:F78)</f>
        <v>251.10086999999999</v>
      </c>
    </row>
    <row r="11" spans="1:17">
      <c r="A11" s="45"/>
      <c r="B11" s="53"/>
      <c r="C11" s="54"/>
      <c r="D11" s="54"/>
      <c r="E11" s="54"/>
      <c r="F11" s="54"/>
      <c r="G11" s="54"/>
      <c r="H11" s="54"/>
      <c r="I11" s="54"/>
      <c r="J11" s="54"/>
      <c r="K11" s="55"/>
      <c r="L11" s="55"/>
    </row>
    <row r="12" spans="1:17">
      <c r="A12" s="48" t="s">
        <v>496</v>
      </c>
      <c r="B12" s="51">
        <v>11793.48</v>
      </c>
      <c r="C12" s="51">
        <v>1.494801</v>
      </c>
      <c r="D12" s="51">
        <v>11791.985000000001</v>
      </c>
      <c r="E12" s="51">
        <v>2705.8279000000002</v>
      </c>
      <c r="F12" s="51">
        <v>782.63685999999996</v>
      </c>
      <c r="G12" s="51">
        <v>2898.2172</v>
      </c>
      <c r="H12" s="51">
        <v>609.39963999999998</v>
      </c>
      <c r="I12" s="51">
        <v>588.36523</v>
      </c>
      <c r="J12" s="51">
        <v>356.30398000000002</v>
      </c>
      <c r="K12" s="52">
        <v>3851.2341999999999</v>
      </c>
      <c r="L12" s="52">
        <v>15121.745000000001</v>
      </c>
    </row>
    <row r="13" spans="1:17">
      <c r="A13" s="49" t="s">
        <v>14</v>
      </c>
      <c r="B13" s="54">
        <v>10456.263000000001</v>
      </c>
      <c r="C13" s="54">
        <v>0</v>
      </c>
      <c r="D13" s="54">
        <v>10456.263000000001</v>
      </c>
      <c r="E13" s="54">
        <v>2855.0740999999998</v>
      </c>
      <c r="F13" s="54">
        <v>970.36697000000004</v>
      </c>
      <c r="G13" s="54">
        <v>1061.6469999999999</v>
      </c>
      <c r="H13" s="54">
        <v>818.19583999999998</v>
      </c>
      <c r="I13" s="54">
        <v>595.56377999999995</v>
      </c>
      <c r="J13" s="54">
        <v>360.84044</v>
      </c>
      <c r="K13" s="55">
        <v>3794.5752000000002</v>
      </c>
      <c r="L13" s="55">
        <v>3623.355</v>
      </c>
    </row>
    <row r="14" spans="1:17">
      <c r="A14" s="49" t="s">
        <v>27</v>
      </c>
      <c r="B14" s="54">
        <v>10190.877</v>
      </c>
      <c r="C14" s="54">
        <v>0</v>
      </c>
      <c r="D14" s="54">
        <v>10190.877</v>
      </c>
      <c r="E14" s="54">
        <v>2279.0934000000002</v>
      </c>
      <c r="F14" s="54">
        <v>607.52679999999998</v>
      </c>
      <c r="G14" s="54">
        <v>3077.1167</v>
      </c>
      <c r="H14" s="54">
        <v>357.81614999999999</v>
      </c>
      <c r="I14" s="54">
        <v>813.45416999999998</v>
      </c>
      <c r="J14" s="54">
        <v>256.39431999999999</v>
      </c>
      <c r="K14" s="55">
        <v>2799.4755</v>
      </c>
      <c r="L14" s="55">
        <v>1377.2380000000001</v>
      </c>
    </row>
    <row r="15" spans="1:17">
      <c r="A15" s="49" t="s">
        <v>29</v>
      </c>
      <c r="B15" s="54">
        <v>13060.999</v>
      </c>
      <c r="C15" s="54">
        <v>0.60660773000000001</v>
      </c>
      <c r="D15" s="54">
        <v>13060.393</v>
      </c>
      <c r="E15" s="54">
        <v>2774.5704999999998</v>
      </c>
      <c r="F15" s="54">
        <v>711.51467000000002</v>
      </c>
      <c r="G15" s="54">
        <v>3885.3573000000001</v>
      </c>
      <c r="H15" s="54">
        <v>587.10257999999999</v>
      </c>
      <c r="I15" s="54">
        <v>487.50846000000001</v>
      </c>
      <c r="J15" s="54">
        <v>352.49732</v>
      </c>
      <c r="K15" s="55">
        <v>4261.8419000000004</v>
      </c>
      <c r="L15" s="55">
        <v>6989.69</v>
      </c>
    </row>
    <row r="16" spans="1:17">
      <c r="A16" s="49" t="s">
        <v>37</v>
      </c>
      <c r="B16" s="54">
        <v>9477.1658000000007</v>
      </c>
      <c r="C16" s="54">
        <v>0</v>
      </c>
      <c r="D16" s="54">
        <v>9477.1658000000007</v>
      </c>
      <c r="E16" s="54">
        <v>2379.5965000000001</v>
      </c>
      <c r="F16" s="54">
        <v>685.12545999999998</v>
      </c>
      <c r="G16" s="54">
        <v>2201.3009000000002</v>
      </c>
      <c r="H16" s="54">
        <v>211.35274999999999</v>
      </c>
      <c r="I16" s="54">
        <v>573.35865000000001</v>
      </c>
      <c r="J16" s="54">
        <v>350.37495000000001</v>
      </c>
      <c r="K16" s="55">
        <v>3076.0567000000001</v>
      </c>
      <c r="L16" s="55">
        <v>1387.5050000000001</v>
      </c>
    </row>
    <row r="17" spans="1:12">
      <c r="A17" s="49" t="s">
        <v>47</v>
      </c>
      <c r="B17" s="54">
        <v>11964.125</v>
      </c>
      <c r="C17" s="54">
        <v>16.740428999999999</v>
      </c>
      <c r="D17" s="54">
        <v>11947.385</v>
      </c>
      <c r="E17" s="54">
        <v>2582.7973999999999</v>
      </c>
      <c r="F17" s="54">
        <v>662.85956999999996</v>
      </c>
      <c r="G17" s="54">
        <v>3156.5245</v>
      </c>
      <c r="H17" s="54">
        <v>804.76306</v>
      </c>
      <c r="I17" s="54">
        <v>619.56179999999995</v>
      </c>
      <c r="J17" s="54">
        <v>450.9615</v>
      </c>
      <c r="K17" s="55">
        <v>3669.9171000000001</v>
      </c>
      <c r="L17" s="55">
        <v>1096.9849999999999</v>
      </c>
    </row>
    <row r="18" spans="1:12">
      <c r="A18" s="49" t="s">
        <v>53</v>
      </c>
      <c r="B18" s="54">
        <v>13678.428</v>
      </c>
      <c r="C18" s="54">
        <v>0</v>
      </c>
      <c r="D18" s="54">
        <v>13678.428</v>
      </c>
      <c r="E18" s="54">
        <v>2943.9589000000001</v>
      </c>
      <c r="F18" s="54">
        <v>1284.6197</v>
      </c>
      <c r="G18" s="54">
        <v>3194.9404</v>
      </c>
      <c r="H18" s="54">
        <v>738.89287000000002</v>
      </c>
      <c r="I18" s="54">
        <v>1137.8065999999999</v>
      </c>
      <c r="J18" s="54">
        <v>436.92308000000003</v>
      </c>
      <c r="K18" s="55">
        <v>3941.2865000000002</v>
      </c>
      <c r="L18" s="55">
        <v>646.97199999999998</v>
      </c>
    </row>
    <row r="19" spans="1:12">
      <c r="A19" s="46"/>
      <c r="B19" s="54"/>
      <c r="C19" s="54"/>
      <c r="D19" s="54"/>
      <c r="E19" s="54"/>
      <c r="F19" s="54"/>
      <c r="G19" s="54"/>
      <c r="H19" s="54"/>
      <c r="I19" s="54"/>
      <c r="J19" s="54"/>
      <c r="K19" s="55"/>
      <c r="L19" s="55"/>
    </row>
    <row r="20" spans="1:12">
      <c r="A20" s="48" t="s">
        <v>497</v>
      </c>
      <c r="B20" s="51">
        <v>13394.934999999999</v>
      </c>
      <c r="C20" s="51">
        <v>2.6521975000000002</v>
      </c>
      <c r="D20" s="51">
        <v>13392.282999999999</v>
      </c>
      <c r="E20" s="51">
        <v>3143.8926999999999</v>
      </c>
      <c r="F20" s="51">
        <v>823.60001999999997</v>
      </c>
      <c r="G20" s="51">
        <v>3449.4106000000002</v>
      </c>
      <c r="H20" s="51">
        <v>1041.5987</v>
      </c>
      <c r="I20" s="51">
        <v>632.17105000000004</v>
      </c>
      <c r="J20" s="51">
        <v>482.57190000000003</v>
      </c>
      <c r="K20" s="52">
        <v>3819.038</v>
      </c>
      <c r="L20" s="52">
        <v>49985.72</v>
      </c>
    </row>
    <row r="21" spans="1:12">
      <c r="A21" s="49" t="s">
        <v>15</v>
      </c>
      <c r="B21" s="54">
        <v>12638.352000000001</v>
      </c>
      <c r="C21" s="54">
        <v>0.95938822000000001</v>
      </c>
      <c r="D21" s="54">
        <v>12637.393</v>
      </c>
      <c r="E21" s="54">
        <v>2300.1799999999998</v>
      </c>
      <c r="F21" s="54">
        <v>1572.1527000000001</v>
      </c>
      <c r="G21" s="54">
        <v>3135.1862000000001</v>
      </c>
      <c r="H21" s="54">
        <v>661.63751000000002</v>
      </c>
      <c r="I21" s="54">
        <v>800.06708000000003</v>
      </c>
      <c r="J21" s="54">
        <v>392.21960000000001</v>
      </c>
      <c r="K21" s="55">
        <v>3775.95</v>
      </c>
      <c r="L21" s="55">
        <v>1004.807</v>
      </c>
    </row>
    <row r="22" spans="1:12">
      <c r="A22" s="49" t="s">
        <v>16</v>
      </c>
      <c r="B22" s="54">
        <v>25061.194</v>
      </c>
      <c r="C22" s="54">
        <v>0</v>
      </c>
      <c r="D22" s="54">
        <v>25061.194</v>
      </c>
      <c r="E22" s="54">
        <v>4952.1943000000001</v>
      </c>
      <c r="F22" s="54">
        <v>251.10086999999999</v>
      </c>
      <c r="G22" s="54">
        <v>7044.5505000000003</v>
      </c>
      <c r="H22" s="54">
        <v>2449.2554</v>
      </c>
      <c r="I22" s="54">
        <v>1003.6304</v>
      </c>
      <c r="J22" s="54">
        <v>1000.2048</v>
      </c>
      <c r="K22" s="55">
        <v>8360.2574999999997</v>
      </c>
      <c r="L22" s="55">
        <v>668.79100000000005</v>
      </c>
    </row>
    <row r="23" spans="1:12">
      <c r="A23" s="49" t="s">
        <v>28</v>
      </c>
      <c r="B23" s="54">
        <v>11714.111000000001</v>
      </c>
      <c r="C23" s="54">
        <v>0</v>
      </c>
      <c r="D23" s="54">
        <v>11714.111000000001</v>
      </c>
      <c r="E23" s="54">
        <v>2475.3510000000001</v>
      </c>
      <c r="F23" s="54">
        <v>1152.2140999999999</v>
      </c>
      <c r="G23" s="54">
        <v>2736.0994000000001</v>
      </c>
      <c r="H23" s="54">
        <v>571.13469999999995</v>
      </c>
      <c r="I23" s="54">
        <v>488.4255</v>
      </c>
      <c r="J23" s="54">
        <v>509.93099000000001</v>
      </c>
      <c r="K23" s="55">
        <v>3780.9553999999998</v>
      </c>
      <c r="L23" s="55">
        <v>6174.61</v>
      </c>
    </row>
    <row r="24" spans="1:12">
      <c r="A24" s="49" t="s">
        <v>38</v>
      </c>
      <c r="B24" s="54">
        <v>11267.13</v>
      </c>
      <c r="C24" s="54">
        <v>2.1040226999999998</v>
      </c>
      <c r="D24" s="54">
        <v>11265.026</v>
      </c>
      <c r="E24" s="54">
        <v>2956.0338999999999</v>
      </c>
      <c r="F24" s="54">
        <v>711.02835000000005</v>
      </c>
      <c r="G24" s="54">
        <v>2396.0558000000001</v>
      </c>
      <c r="H24" s="54">
        <v>572.74486000000002</v>
      </c>
      <c r="I24" s="54">
        <v>468.20762000000002</v>
      </c>
      <c r="J24" s="54">
        <v>454.93588</v>
      </c>
      <c r="K24" s="55">
        <v>3706.0192000000002</v>
      </c>
      <c r="L24" s="55">
        <v>9267.9609999999993</v>
      </c>
    </row>
    <row r="25" spans="1:12">
      <c r="A25" s="49" t="s">
        <v>40</v>
      </c>
      <c r="B25" s="54">
        <v>15898.777</v>
      </c>
      <c r="C25" s="54">
        <v>0</v>
      </c>
      <c r="D25" s="54">
        <v>15898.777</v>
      </c>
      <c r="E25" s="54">
        <v>3817.2352999999998</v>
      </c>
      <c r="F25" s="54">
        <v>709.63327000000004</v>
      </c>
      <c r="G25" s="54">
        <v>4249.2629999999999</v>
      </c>
      <c r="H25" s="54">
        <v>1445.4301</v>
      </c>
      <c r="I25" s="54">
        <v>609.01446999999996</v>
      </c>
      <c r="J25" s="54">
        <v>539.33381999999995</v>
      </c>
      <c r="K25" s="55">
        <v>4528.8665000000001</v>
      </c>
      <c r="L25" s="55">
        <v>19857.491999999998</v>
      </c>
    </row>
    <row r="26" spans="1:12">
      <c r="A26" s="49" t="s">
        <v>46</v>
      </c>
      <c r="B26" s="54">
        <v>11345.817999999999</v>
      </c>
      <c r="C26" s="54">
        <v>8.6157003000000003</v>
      </c>
      <c r="D26" s="54">
        <v>11337.203</v>
      </c>
      <c r="E26" s="54">
        <v>2539.5725000000002</v>
      </c>
      <c r="F26" s="54">
        <v>893.38689999999997</v>
      </c>
      <c r="G26" s="54">
        <v>3157.0005999999998</v>
      </c>
      <c r="H26" s="54">
        <v>939.50350000000003</v>
      </c>
      <c r="I26" s="54">
        <v>820.44862999999998</v>
      </c>
      <c r="J26" s="54">
        <v>383.02170000000001</v>
      </c>
      <c r="K26" s="55">
        <v>2604.2689</v>
      </c>
      <c r="L26" s="55">
        <v>13012.058999999999</v>
      </c>
    </row>
    <row r="27" spans="1:12">
      <c r="A27" s="46"/>
      <c r="B27" s="54"/>
      <c r="C27" s="54"/>
      <c r="D27" s="54"/>
      <c r="E27" s="54"/>
      <c r="F27" s="54"/>
      <c r="G27" s="54"/>
      <c r="H27" s="54"/>
      <c r="I27" s="54"/>
      <c r="J27" s="54"/>
      <c r="K27" s="55"/>
      <c r="L27" s="55"/>
    </row>
    <row r="28" spans="1:12">
      <c r="A28" s="48" t="s">
        <v>498</v>
      </c>
      <c r="B28" s="51">
        <v>10296.790999999999</v>
      </c>
      <c r="C28" s="51">
        <v>0.80946213</v>
      </c>
      <c r="D28" s="51">
        <v>10295.981</v>
      </c>
      <c r="E28" s="51">
        <v>2181.7957999999999</v>
      </c>
      <c r="F28" s="51">
        <v>860.24748</v>
      </c>
      <c r="G28" s="51">
        <v>2578.1468</v>
      </c>
      <c r="H28" s="51">
        <v>896.71198000000004</v>
      </c>
      <c r="I28" s="51">
        <v>608.38742999999999</v>
      </c>
      <c r="J28" s="51">
        <v>349.92362000000003</v>
      </c>
      <c r="K28" s="52">
        <v>2820.768</v>
      </c>
      <c r="L28" s="52">
        <v>47181.947999999997</v>
      </c>
    </row>
    <row r="29" spans="1:12">
      <c r="A29" s="49" t="s">
        <v>21</v>
      </c>
      <c r="B29" s="54">
        <v>10990.87</v>
      </c>
      <c r="C29" s="54">
        <v>1.3340197</v>
      </c>
      <c r="D29" s="54">
        <v>10989.536</v>
      </c>
      <c r="E29" s="54">
        <v>2398.6894000000002</v>
      </c>
      <c r="F29" s="54">
        <v>789.42533000000003</v>
      </c>
      <c r="G29" s="54">
        <v>2490.7662</v>
      </c>
      <c r="H29" s="54">
        <v>626.75004000000001</v>
      </c>
      <c r="I29" s="54">
        <v>708.33027000000004</v>
      </c>
      <c r="J29" s="54">
        <v>470.70103</v>
      </c>
      <c r="K29" s="55">
        <v>3504.8737999999998</v>
      </c>
      <c r="L29" s="55">
        <v>12686.468999999999</v>
      </c>
    </row>
    <row r="30" spans="1:12">
      <c r="A30" s="49" t="s">
        <v>22</v>
      </c>
      <c r="B30" s="54">
        <v>9809.1157000000003</v>
      </c>
      <c r="C30" s="54">
        <v>0.21471977</v>
      </c>
      <c r="D30" s="54">
        <v>9808.9009999999998</v>
      </c>
      <c r="E30" s="54">
        <v>1773.9351999999999</v>
      </c>
      <c r="F30" s="54">
        <v>966.55303000000004</v>
      </c>
      <c r="G30" s="54">
        <v>2674.4276</v>
      </c>
      <c r="H30" s="54">
        <v>1108.1104</v>
      </c>
      <c r="I30" s="54">
        <v>561.80510000000004</v>
      </c>
      <c r="J30" s="54">
        <v>250.73750000000001</v>
      </c>
      <c r="K30" s="55">
        <v>2473.3321999999998</v>
      </c>
      <c r="L30" s="55">
        <v>6813.5320000000002</v>
      </c>
    </row>
    <row r="31" spans="1:12">
      <c r="A31" s="49" t="s">
        <v>30</v>
      </c>
      <c r="B31" s="54">
        <v>9750.2224000000006</v>
      </c>
      <c r="C31" s="54">
        <v>0.40787032000000001</v>
      </c>
      <c r="D31" s="54">
        <v>9749.8145000000004</v>
      </c>
      <c r="E31" s="54">
        <v>2006.8104000000001</v>
      </c>
      <c r="F31" s="54">
        <v>981.83792000000005</v>
      </c>
      <c r="G31" s="54">
        <v>2105.6410000000001</v>
      </c>
      <c r="H31" s="54">
        <v>1095.954</v>
      </c>
      <c r="I31" s="54">
        <v>583.27049999999997</v>
      </c>
      <c r="J31" s="54">
        <v>290.79559999999998</v>
      </c>
      <c r="K31" s="55">
        <v>2685.5050999999999</v>
      </c>
      <c r="L31" s="55">
        <v>10037.504000000001</v>
      </c>
    </row>
    <row r="32" spans="1:12">
      <c r="A32" s="49" t="s">
        <v>43</v>
      </c>
      <c r="B32" s="54">
        <v>10275.254999999999</v>
      </c>
      <c r="C32" s="54">
        <v>1.3354763000000001</v>
      </c>
      <c r="D32" s="54">
        <v>10273.92</v>
      </c>
      <c r="E32" s="54">
        <v>2331.3413999999998</v>
      </c>
      <c r="F32" s="54">
        <v>691.60018000000002</v>
      </c>
      <c r="G32" s="54">
        <v>2975.9737</v>
      </c>
      <c r="H32" s="54">
        <v>939.66862000000003</v>
      </c>
      <c r="I32" s="54">
        <v>511.35685999999998</v>
      </c>
      <c r="J32" s="54">
        <v>333.18421000000001</v>
      </c>
      <c r="K32" s="55">
        <v>2490.7948999999999</v>
      </c>
      <c r="L32" s="55">
        <v>11764.342000000001</v>
      </c>
    </row>
    <row r="33" spans="1:12">
      <c r="A33" s="49" t="s">
        <v>57</v>
      </c>
      <c r="B33" s="54">
        <v>10340.478999999999</v>
      </c>
      <c r="C33" s="54">
        <v>0</v>
      </c>
      <c r="D33" s="54">
        <v>10340.478999999999</v>
      </c>
      <c r="E33" s="54">
        <v>2185.9569999999999</v>
      </c>
      <c r="F33" s="54">
        <v>1019.7221</v>
      </c>
      <c r="G33" s="54">
        <v>2665.7548999999999</v>
      </c>
      <c r="H33" s="54">
        <v>808.14954999999998</v>
      </c>
      <c r="I33" s="54">
        <v>683.73996</v>
      </c>
      <c r="J33" s="54">
        <v>338.69842999999997</v>
      </c>
      <c r="K33" s="55">
        <v>2638.4573999999998</v>
      </c>
      <c r="L33" s="55">
        <v>5880.1009999999997</v>
      </c>
    </row>
    <row r="34" spans="1:12">
      <c r="A34" s="46"/>
      <c r="B34" s="54"/>
      <c r="C34" s="54"/>
      <c r="D34" s="54"/>
      <c r="E34" s="54"/>
      <c r="F34" s="54"/>
      <c r="G34" s="54"/>
      <c r="H34" s="54"/>
      <c r="I34" s="54"/>
      <c r="J34" s="54"/>
      <c r="K34" s="55"/>
      <c r="L34" s="55"/>
    </row>
    <row r="35" spans="1:12">
      <c r="A35" s="48" t="s">
        <v>499</v>
      </c>
      <c r="B35" s="51">
        <v>10738.181</v>
      </c>
      <c r="C35" s="51">
        <v>1.0487861999999999</v>
      </c>
      <c r="D35" s="51">
        <v>10737.132</v>
      </c>
      <c r="E35" s="51">
        <v>2315.9863999999998</v>
      </c>
      <c r="F35" s="51">
        <v>944.78053999999997</v>
      </c>
      <c r="G35" s="51">
        <v>2324.4989</v>
      </c>
      <c r="H35" s="51">
        <v>1151.4563000000001</v>
      </c>
      <c r="I35" s="51">
        <v>838.30655000000002</v>
      </c>
      <c r="J35" s="51">
        <v>361.83922000000001</v>
      </c>
      <c r="K35" s="52">
        <v>2800.2640000000001</v>
      </c>
      <c r="L35" s="52">
        <v>21654.557000000001</v>
      </c>
    </row>
    <row r="36" spans="1:12">
      <c r="A36" s="49" t="s">
        <v>23</v>
      </c>
      <c r="B36" s="54">
        <v>11476.567999999999</v>
      </c>
      <c r="C36" s="54">
        <v>0</v>
      </c>
      <c r="D36" s="54">
        <v>11476.567999999999</v>
      </c>
      <c r="E36" s="54">
        <v>2368.6374999999998</v>
      </c>
      <c r="F36" s="54">
        <v>1152.9794999999999</v>
      </c>
      <c r="G36" s="54">
        <v>2400.9632999999999</v>
      </c>
      <c r="H36" s="54">
        <v>1687.0029999999999</v>
      </c>
      <c r="I36" s="54">
        <v>984.35401000000002</v>
      </c>
      <c r="J36" s="54">
        <v>296.13511999999997</v>
      </c>
      <c r="K36" s="55">
        <v>2586.4956999999999</v>
      </c>
      <c r="L36" s="55">
        <v>3197.6889999999999</v>
      </c>
    </row>
    <row r="37" spans="1:12">
      <c r="A37" s="49" t="s">
        <v>24</v>
      </c>
      <c r="B37" s="54">
        <v>10693.821</v>
      </c>
      <c r="C37" s="54">
        <v>0.27774733000000001</v>
      </c>
      <c r="D37" s="54">
        <v>10693.543</v>
      </c>
      <c r="E37" s="54">
        <v>2535.1813000000002</v>
      </c>
      <c r="F37" s="54">
        <v>1130.5518</v>
      </c>
      <c r="G37" s="54">
        <v>1840.9150999999999</v>
      </c>
      <c r="H37" s="54">
        <v>1768.3611000000001</v>
      </c>
      <c r="I37" s="54">
        <v>685.29389000000003</v>
      </c>
      <c r="J37" s="54">
        <v>390.67477000000002</v>
      </c>
      <c r="K37" s="55">
        <v>2342.5648999999999</v>
      </c>
      <c r="L37" s="55">
        <v>2937.922</v>
      </c>
    </row>
    <row r="38" spans="1:12">
      <c r="A38" s="49" t="s">
        <v>31</v>
      </c>
      <c r="B38" s="54">
        <v>12009.594999999999</v>
      </c>
      <c r="C38" s="54">
        <v>6.6182599999999994E-2</v>
      </c>
      <c r="D38" s="54">
        <v>12009.529</v>
      </c>
      <c r="E38" s="54">
        <v>2517.7339999999999</v>
      </c>
      <c r="F38" s="54">
        <v>891.48662000000002</v>
      </c>
      <c r="G38" s="54">
        <v>3312.7939999999999</v>
      </c>
      <c r="H38" s="54">
        <v>717.85395000000005</v>
      </c>
      <c r="I38" s="54">
        <v>991.85428999999999</v>
      </c>
      <c r="J38" s="54">
        <v>450.09683000000001</v>
      </c>
      <c r="K38" s="55">
        <v>3127.7094999999999</v>
      </c>
      <c r="L38" s="55">
        <v>5711.4709999999995</v>
      </c>
    </row>
    <row r="39" spans="1:12">
      <c r="A39" s="49" t="s">
        <v>33</v>
      </c>
      <c r="B39" s="54">
        <v>8970.1687000000002</v>
      </c>
      <c r="C39" s="54">
        <v>3.4874581999999998</v>
      </c>
      <c r="D39" s="54">
        <v>8966.6812000000009</v>
      </c>
      <c r="E39" s="54">
        <v>1881.8827000000001</v>
      </c>
      <c r="F39" s="54">
        <v>622.64687000000004</v>
      </c>
      <c r="G39" s="54">
        <v>1787.9398000000001</v>
      </c>
      <c r="H39" s="54">
        <v>1341.1093000000001</v>
      </c>
      <c r="I39" s="54">
        <v>466.30219</v>
      </c>
      <c r="J39" s="54">
        <v>339.21654000000001</v>
      </c>
      <c r="K39" s="55">
        <v>2527.5839000000001</v>
      </c>
      <c r="L39" s="55">
        <v>6169.8230000000003</v>
      </c>
    </row>
    <row r="40" spans="1:12">
      <c r="A40" s="49" t="s">
        <v>35</v>
      </c>
      <c r="B40" s="54">
        <v>10783.951999999999</v>
      </c>
      <c r="C40" s="54">
        <v>0</v>
      </c>
      <c r="D40" s="54">
        <v>10783.951999999999</v>
      </c>
      <c r="E40" s="54">
        <v>2707.1698000000001</v>
      </c>
      <c r="F40" s="54">
        <v>1285.4752000000001</v>
      </c>
      <c r="G40" s="54">
        <v>1927.1418000000001</v>
      </c>
      <c r="H40" s="54">
        <v>605.52345000000003</v>
      </c>
      <c r="I40" s="54">
        <v>959.42458999999997</v>
      </c>
      <c r="J40" s="54">
        <v>283.33623999999998</v>
      </c>
      <c r="K40" s="55">
        <v>3015.8814000000002</v>
      </c>
      <c r="L40" s="55">
        <v>1963.5540000000001</v>
      </c>
    </row>
    <row r="41" spans="1:12">
      <c r="A41" s="49" t="s">
        <v>42</v>
      </c>
      <c r="B41" s="54">
        <v>13688.98</v>
      </c>
      <c r="C41" s="54">
        <v>0</v>
      </c>
      <c r="D41" s="54">
        <v>13688.98</v>
      </c>
      <c r="E41" s="54">
        <v>2616.3788</v>
      </c>
      <c r="F41" s="54">
        <v>1585.4944</v>
      </c>
      <c r="G41" s="54">
        <v>2270.5563999999999</v>
      </c>
      <c r="H41" s="54">
        <v>584.34649000000002</v>
      </c>
      <c r="I41" s="54">
        <v>1739.9277999999999</v>
      </c>
      <c r="J41" s="54">
        <v>354.30641000000003</v>
      </c>
      <c r="K41" s="55">
        <v>4537.9697999999999</v>
      </c>
      <c r="L41" s="55">
        <v>777.93399999999997</v>
      </c>
    </row>
    <row r="42" spans="1:12">
      <c r="A42" s="49" t="s">
        <v>49</v>
      </c>
      <c r="B42" s="54">
        <v>9656.3040000000001</v>
      </c>
      <c r="C42" s="54">
        <v>0</v>
      </c>
      <c r="D42" s="54">
        <v>9656.3040000000001</v>
      </c>
      <c r="E42" s="54">
        <v>1994.5411999999999</v>
      </c>
      <c r="F42" s="54">
        <v>847.64619000000005</v>
      </c>
      <c r="G42" s="54">
        <v>1949.8719000000001</v>
      </c>
      <c r="H42" s="54">
        <v>364.31612999999999</v>
      </c>
      <c r="I42" s="54">
        <v>1353.3003000000001</v>
      </c>
      <c r="J42" s="54">
        <v>273.55930000000001</v>
      </c>
      <c r="K42" s="55">
        <v>2873.069</v>
      </c>
      <c r="L42" s="55">
        <v>896.16399999999999</v>
      </c>
    </row>
    <row r="43" spans="1:12">
      <c r="A43" s="46"/>
      <c r="B43" s="54"/>
      <c r="C43" s="54"/>
      <c r="D43" s="54"/>
      <c r="E43" s="54"/>
      <c r="F43" s="54"/>
      <c r="G43" s="54"/>
      <c r="H43" s="54"/>
      <c r="I43" s="54"/>
      <c r="J43" s="54"/>
      <c r="K43" s="55"/>
      <c r="L43" s="55"/>
    </row>
    <row r="44" spans="1:12">
      <c r="A44" s="48" t="s">
        <v>500</v>
      </c>
      <c r="B44" s="51">
        <v>9191.7016000000003</v>
      </c>
      <c r="C44" s="51">
        <v>4.6663128</v>
      </c>
      <c r="D44" s="51">
        <v>9187.0352999999996</v>
      </c>
      <c r="E44" s="51">
        <v>1777.6574000000001</v>
      </c>
      <c r="F44" s="51">
        <v>793.27484000000004</v>
      </c>
      <c r="G44" s="51">
        <v>1957.693</v>
      </c>
      <c r="H44" s="51">
        <v>1141.9422999999999</v>
      </c>
      <c r="I44" s="51">
        <v>551.27520000000004</v>
      </c>
      <c r="J44" s="51">
        <v>352.78257000000002</v>
      </c>
      <c r="K44" s="52">
        <v>2612.41</v>
      </c>
      <c r="L44" s="52">
        <v>85947.732000000004</v>
      </c>
    </row>
    <row r="45" spans="1:12">
      <c r="A45" s="49" t="s">
        <v>5</v>
      </c>
      <c r="B45" s="54">
        <v>9366.2098000000005</v>
      </c>
      <c r="C45" s="54">
        <v>0</v>
      </c>
      <c r="D45" s="54">
        <v>9366.2098000000005</v>
      </c>
      <c r="E45" s="54">
        <v>1758.3322000000001</v>
      </c>
      <c r="F45" s="54">
        <v>1193.6114</v>
      </c>
      <c r="G45" s="54">
        <v>1588.4407000000001</v>
      </c>
      <c r="H45" s="54">
        <v>1813.4355</v>
      </c>
      <c r="I45" s="54">
        <v>505.45006999999998</v>
      </c>
      <c r="J45" s="54">
        <v>287.30777</v>
      </c>
      <c r="K45" s="55">
        <v>2219.6320000000001</v>
      </c>
      <c r="L45" s="55">
        <v>5049.8459999999995</v>
      </c>
    </row>
    <row r="46" spans="1:12">
      <c r="A46" s="49" t="s">
        <v>10</v>
      </c>
      <c r="B46" s="54">
        <v>9048.9624000000003</v>
      </c>
      <c r="C46" s="54">
        <v>5.6800879999999998E-2</v>
      </c>
      <c r="D46" s="54">
        <v>9048.9056</v>
      </c>
      <c r="E46" s="54">
        <v>1881.7663</v>
      </c>
      <c r="F46" s="54">
        <v>962.72937000000002</v>
      </c>
      <c r="G46" s="54">
        <v>2616.8708000000001</v>
      </c>
      <c r="H46" s="54">
        <v>663.01952000000006</v>
      </c>
      <c r="I46" s="54">
        <v>725.35551999999996</v>
      </c>
      <c r="J46" s="54">
        <v>241.30797999999999</v>
      </c>
      <c r="K46" s="55">
        <v>1957.8561</v>
      </c>
      <c r="L46" s="55">
        <v>3028.1219999999998</v>
      </c>
    </row>
    <row r="47" spans="1:12">
      <c r="A47" s="49" t="s">
        <v>17</v>
      </c>
      <c r="B47" s="54">
        <v>8816.2980000000007</v>
      </c>
      <c r="C47" s="54">
        <v>0</v>
      </c>
      <c r="D47" s="54">
        <v>8816.2980000000007</v>
      </c>
      <c r="E47" s="54">
        <v>1502.8712</v>
      </c>
      <c r="F47" s="54">
        <v>560.80613000000005</v>
      </c>
      <c r="G47" s="54">
        <v>1524.0101</v>
      </c>
      <c r="H47" s="54">
        <v>945.00544000000002</v>
      </c>
      <c r="I47" s="54">
        <v>555.72355000000005</v>
      </c>
      <c r="J47" s="54">
        <v>485.05880000000002</v>
      </c>
      <c r="K47" s="55">
        <v>3242.8229000000001</v>
      </c>
      <c r="L47" s="55">
        <v>21828.069</v>
      </c>
    </row>
    <row r="48" spans="1:12">
      <c r="A48" s="49" t="s">
        <v>18</v>
      </c>
      <c r="B48" s="54">
        <v>7970.9974000000002</v>
      </c>
      <c r="C48" s="54">
        <v>0</v>
      </c>
      <c r="D48" s="54">
        <v>7970.9974000000002</v>
      </c>
      <c r="E48" s="54">
        <v>2115.3254999999999</v>
      </c>
      <c r="F48" s="54">
        <v>591.07433000000003</v>
      </c>
      <c r="G48" s="54">
        <v>1352.0844</v>
      </c>
      <c r="H48" s="54">
        <v>816.34438999999998</v>
      </c>
      <c r="I48" s="54">
        <v>478.24027999999998</v>
      </c>
      <c r="J48" s="54">
        <v>298.74549000000002</v>
      </c>
      <c r="K48" s="55">
        <v>2319.183</v>
      </c>
      <c r="L48" s="55">
        <v>10788.029</v>
      </c>
    </row>
    <row r="49" spans="1:12">
      <c r="A49" s="49" t="s">
        <v>25</v>
      </c>
      <c r="B49" s="54">
        <v>10203.451999999999</v>
      </c>
      <c r="C49" s="54">
        <v>0</v>
      </c>
      <c r="D49" s="54">
        <v>10203.451999999999</v>
      </c>
      <c r="E49" s="54">
        <v>1755.1376</v>
      </c>
      <c r="F49" s="54">
        <v>834.13198</v>
      </c>
      <c r="G49" s="54">
        <v>3535.7256000000002</v>
      </c>
      <c r="H49" s="54">
        <v>953.32101999999998</v>
      </c>
      <c r="I49" s="54">
        <v>501.56891999999999</v>
      </c>
      <c r="J49" s="54">
        <v>232.32782</v>
      </c>
      <c r="K49" s="55">
        <v>2391.2390999999998</v>
      </c>
      <c r="L49" s="55">
        <v>4506.5889999999999</v>
      </c>
    </row>
    <row r="50" spans="1:12">
      <c r="A50" s="49" t="s">
        <v>26</v>
      </c>
      <c r="B50" s="54">
        <v>10626.019</v>
      </c>
      <c r="C50" s="54">
        <v>86.447271999999998</v>
      </c>
      <c r="D50" s="54">
        <v>10539.572</v>
      </c>
      <c r="E50" s="54">
        <v>1891.7701999999999</v>
      </c>
      <c r="F50" s="54">
        <v>872.74962000000005</v>
      </c>
      <c r="G50" s="54">
        <v>3161.4079000000002</v>
      </c>
      <c r="H50" s="54">
        <v>889.96645000000001</v>
      </c>
      <c r="I50" s="54">
        <v>511.71728000000002</v>
      </c>
      <c r="J50" s="54">
        <v>344.88830999999999</v>
      </c>
      <c r="K50" s="55">
        <v>2867.0722000000001</v>
      </c>
      <c r="L50" s="55">
        <v>4627.098</v>
      </c>
    </row>
    <row r="51" spans="1:12">
      <c r="A51" s="49" t="s">
        <v>32</v>
      </c>
      <c r="B51" s="54">
        <v>9571.4442999999992</v>
      </c>
      <c r="C51" s="54">
        <v>0</v>
      </c>
      <c r="D51" s="54">
        <v>9571.4442999999992</v>
      </c>
      <c r="E51" s="54">
        <v>1751.8025</v>
      </c>
      <c r="F51" s="54">
        <v>1007.1997</v>
      </c>
      <c r="G51" s="54">
        <v>2246.9157</v>
      </c>
      <c r="H51" s="54">
        <v>1639.1079999999999</v>
      </c>
      <c r="I51" s="54">
        <v>633.10443999999995</v>
      </c>
      <c r="J51" s="54">
        <v>268.29223000000002</v>
      </c>
      <c r="K51" s="55">
        <v>2025.0218</v>
      </c>
      <c r="L51" s="55">
        <v>2949.5859999999998</v>
      </c>
    </row>
    <row r="52" spans="1:12">
      <c r="A52" s="49" t="s">
        <v>41</v>
      </c>
      <c r="B52" s="54">
        <v>9293.9513999999999</v>
      </c>
      <c r="C52" s="54">
        <v>0</v>
      </c>
      <c r="D52" s="54">
        <v>9293.9513999999999</v>
      </c>
      <c r="E52" s="54">
        <v>1621.9318000000001</v>
      </c>
      <c r="F52" s="54">
        <v>1006.6983</v>
      </c>
      <c r="G52" s="54">
        <v>1843.9469999999999</v>
      </c>
      <c r="H52" s="54">
        <v>1747.6568</v>
      </c>
      <c r="I52" s="54">
        <v>498.26445999999999</v>
      </c>
      <c r="J52" s="54">
        <v>359.44087999999999</v>
      </c>
      <c r="K52" s="55">
        <v>2216.0122000000001</v>
      </c>
      <c r="L52" s="55">
        <v>10565.885</v>
      </c>
    </row>
    <row r="53" spans="1:12">
      <c r="A53" s="49" t="s">
        <v>48</v>
      </c>
      <c r="B53" s="54">
        <v>9586.7880000000005</v>
      </c>
      <c r="C53" s="54">
        <v>0</v>
      </c>
      <c r="D53" s="54">
        <v>9586.7880000000005</v>
      </c>
      <c r="E53" s="54">
        <v>1988.5885000000001</v>
      </c>
      <c r="F53" s="54">
        <v>898.61581999999999</v>
      </c>
      <c r="G53" s="54">
        <v>1722.3476000000001</v>
      </c>
      <c r="H53" s="54">
        <v>1915.0907999999999</v>
      </c>
      <c r="I53" s="54">
        <v>425.19659000000001</v>
      </c>
      <c r="J53" s="54">
        <v>271.85032000000001</v>
      </c>
      <c r="K53" s="55">
        <v>2365.0983999999999</v>
      </c>
      <c r="L53" s="55">
        <v>5193.2659999999996</v>
      </c>
    </row>
    <row r="54" spans="1:12">
      <c r="A54" s="49" t="s">
        <v>50</v>
      </c>
      <c r="B54" s="54">
        <v>8062.0787</v>
      </c>
      <c r="C54" s="54">
        <v>0</v>
      </c>
      <c r="D54" s="54">
        <v>8062.0787</v>
      </c>
      <c r="E54" s="54">
        <v>1550.6818000000001</v>
      </c>
      <c r="F54" s="54">
        <v>569.46155999999996</v>
      </c>
      <c r="G54" s="54">
        <v>1967.9549999999999</v>
      </c>
      <c r="H54" s="54">
        <v>962.09433000000001</v>
      </c>
      <c r="I54" s="54">
        <v>391.96633000000003</v>
      </c>
      <c r="J54" s="54">
        <v>330.62542000000002</v>
      </c>
      <c r="K54" s="55">
        <v>2289.2943</v>
      </c>
      <c r="L54" s="55">
        <v>6968.3509999999997</v>
      </c>
    </row>
    <row r="55" spans="1:12">
      <c r="A55" s="49" t="s">
        <v>54</v>
      </c>
      <c r="B55" s="54">
        <v>10500.986999999999</v>
      </c>
      <c r="C55" s="54">
        <v>0.10245612</v>
      </c>
      <c r="D55" s="54">
        <v>10500.884</v>
      </c>
      <c r="E55" s="54">
        <v>2209.6302000000001</v>
      </c>
      <c r="F55" s="54">
        <v>1019.7151</v>
      </c>
      <c r="G55" s="54">
        <v>2273.1426999999999</v>
      </c>
      <c r="H55" s="54">
        <v>951.09875</v>
      </c>
      <c r="I55" s="54">
        <v>796.38989000000004</v>
      </c>
      <c r="J55" s="54">
        <v>336.34068000000002</v>
      </c>
      <c r="K55" s="55">
        <v>2914.5668000000001</v>
      </c>
      <c r="L55" s="55">
        <v>8657.3649999999998</v>
      </c>
    </row>
    <row r="56" spans="1:12">
      <c r="A56" s="49" t="s">
        <v>56</v>
      </c>
      <c r="B56" s="54">
        <v>10313.200999999999</v>
      </c>
      <c r="C56" s="54">
        <v>0</v>
      </c>
      <c r="D56" s="54">
        <v>10313.200999999999</v>
      </c>
      <c r="E56" s="54">
        <v>1878.0225</v>
      </c>
      <c r="F56" s="54">
        <v>981.02296000000001</v>
      </c>
      <c r="G56" s="54">
        <v>3052.9508000000001</v>
      </c>
      <c r="H56" s="54">
        <v>531.75982999999997</v>
      </c>
      <c r="I56" s="54">
        <v>978.9905</v>
      </c>
      <c r="J56" s="54">
        <v>262.66266000000002</v>
      </c>
      <c r="K56" s="55">
        <v>2627.7919999999999</v>
      </c>
      <c r="L56" s="55">
        <v>1785.5260000000001</v>
      </c>
    </row>
    <row r="57" spans="1:12">
      <c r="A57" s="46"/>
      <c r="B57" s="54"/>
      <c r="C57" s="54"/>
      <c r="D57" s="54"/>
      <c r="E57" s="54"/>
      <c r="F57" s="54"/>
      <c r="G57" s="54"/>
      <c r="H57" s="54"/>
      <c r="I57" s="54"/>
      <c r="J57" s="54"/>
      <c r="K57" s="55"/>
      <c r="L57" s="55"/>
    </row>
    <row r="58" spans="1:12">
      <c r="A58" s="48" t="s">
        <v>501</v>
      </c>
      <c r="B58" s="51">
        <v>9483.7515000000003</v>
      </c>
      <c r="C58" s="51">
        <v>1.0785750999999999</v>
      </c>
      <c r="D58" s="51">
        <v>9482.6728999999996</v>
      </c>
      <c r="E58" s="51">
        <v>2020.2181</v>
      </c>
      <c r="F58" s="51">
        <v>1061.2719</v>
      </c>
      <c r="G58" s="51">
        <v>2055.4470000000001</v>
      </c>
      <c r="H58" s="51">
        <v>1065.309</v>
      </c>
      <c r="I58" s="51">
        <v>623.07719999999995</v>
      </c>
      <c r="J58" s="51">
        <v>341.36739</v>
      </c>
      <c r="K58" s="52">
        <v>2315.9823999999999</v>
      </c>
      <c r="L58" s="52">
        <v>42931.642999999996</v>
      </c>
    </row>
    <row r="59" spans="1:12">
      <c r="A59" s="49" t="s">
        <v>8</v>
      </c>
      <c r="B59" s="54">
        <v>8715.8384999999998</v>
      </c>
      <c r="C59" s="54">
        <v>0</v>
      </c>
      <c r="D59" s="54">
        <v>8715.8384999999998</v>
      </c>
      <c r="E59" s="54">
        <v>1381.0951</v>
      </c>
      <c r="F59" s="54">
        <v>960.16876999999999</v>
      </c>
      <c r="G59" s="54">
        <v>2881.0643</v>
      </c>
      <c r="H59" s="54">
        <v>343.07022999999998</v>
      </c>
      <c r="I59" s="54">
        <v>404.74835000000002</v>
      </c>
      <c r="J59" s="54">
        <v>398.59615000000002</v>
      </c>
      <c r="K59" s="55">
        <v>2347.0956000000001</v>
      </c>
      <c r="L59" s="55">
        <v>7264.8770000000004</v>
      </c>
    </row>
    <row r="60" spans="1:12">
      <c r="A60" s="49" t="s">
        <v>39</v>
      </c>
      <c r="B60" s="54">
        <v>12505.23</v>
      </c>
      <c r="C60" s="54">
        <v>0</v>
      </c>
      <c r="D60" s="54">
        <v>12505.23</v>
      </c>
      <c r="E60" s="54">
        <v>1946.8592000000001</v>
      </c>
      <c r="F60" s="54">
        <v>1290.6550999999999</v>
      </c>
      <c r="G60" s="54">
        <v>3953.1048000000001</v>
      </c>
      <c r="H60" s="54">
        <v>1169.4920999999999</v>
      </c>
      <c r="I60" s="54">
        <v>597.24512000000004</v>
      </c>
      <c r="J60" s="54">
        <v>355.04</v>
      </c>
      <c r="K60" s="55">
        <v>3192.8339000000001</v>
      </c>
      <c r="L60" s="55">
        <v>2116.6770000000001</v>
      </c>
    </row>
    <row r="61" spans="1:12">
      <c r="A61" s="49" t="s">
        <v>44</v>
      </c>
      <c r="B61" s="54">
        <v>8570.5341000000008</v>
      </c>
      <c r="C61" s="54">
        <v>11.601701</v>
      </c>
      <c r="D61" s="54">
        <v>8558.9323999999997</v>
      </c>
      <c r="E61" s="54">
        <v>1760.2775999999999</v>
      </c>
      <c r="F61" s="54">
        <v>966.84100999999998</v>
      </c>
      <c r="G61" s="54">
        <v>1872.8132000000001</v>
      </c>
      <c r="H61" s="54">
        <v>796.21595000000002</v>
      </c>
      <c r="I61" s="54">
        <v>766.35193000000004</v>
      </c>
      <c r="J61" s="54">
        <v>295.5421</v>
      </c>
      <c r="K61" s="55">
        <v>2100.8906000000002</v>
      </c>
      <c r="L61" s="55">
        <v>3991.2249999999999</v>
      </c>
    </row>
    <row r="62" spans="1:12">
      <c r="A62" s="49" t="s">
        <v>51</v>
      </c>
      <c r="B62" s="54">
        <v>9579.4303</v>
      </c>
      <c r="C62" s="54">
        <v>0</v>
      </c>
      <c r="D62" s="54">
        <v>9579.4303</v>
      </c>
      <c r="E62" s="54">
        <v>2217.6516000000001</v>
      </c>
      <c r="F62" s="54">
        <v>1082.4455</v>
      </c>
      <c r="G62" s="54">
        <v>1741.3008</v>
      </c>
      <c r="H62" s="54">
        <v>1271.6926000000001</v>
      </c>
      <c r="I62" s="54">
        <v>659.24126999999999</v>
      </c>
      <c r="J62" s="54">
        <v>332.51044000000002</v>
      </c>
      <c r="K62" s="55">
        <v>2274.5882000000001</v>
      </c>
      <c r="L62" s="55">
        <v>29558.864000000001</v>
      </c>
    </row>
    <row r="63" spans="1:12">
      <c r="A63" s="46"/>
      <c r="B63" s="54"/>
      <c r="C63" s="54"/>
      <c r="D63" s="54"/>
      <c r="E63" s="54"/>
      <c r="F63" s="54"/>
      <c r="G63" s="54"/>
      <c r="H63" s="54"/>
      <c r="I63" s="54"/>
      <c r="J63" s="54"/>
      <c r="K63" s="55"/>
      <c r="L63" s="55"/>
    </row>
    <row r="64" spans="1:12">
      <c r="A64" s="48" t="s">
        <v>502</v>
      </c>
      <c r="B64" s="51">
        <v>10677.701999999999</v>
      </c>
      <c r="C64" s="51">
        <v>1.0527114</v>
      </c>
      <c r="D64" s="51">
        <v>10676.65</v>
      </c>
      <c r="E64" s="51">
        <v>2032.5030999999999</v>
      </c>
      <c r="F64" s="51">
        <v>1176.8931</v>
      </c>
      <c r="G64" s="51">
        <v>1947.8423</v>
      </c>
      <c r="H64" s="51">
        <v>1056.519</v>
      </c>
      <c r="I64" s="51">
        <v>720.89757999999995</v>
      </c>
      <c r="J64" s="51">
        <v>350.10329999999999</v>
      </c>
      <c r="K64" s="52">
        <v>3391.8912</v>
      </c>
      <c r="L64" s="52">
        <v>12740.433999999999</v>
      </c>
    </row>
    <row r="65" spans="1:12">
      <c r="A65" s="49" t="s">
        <v>13</v>
      </c>
      <c r="B65" s="54">
        <v>11095.937</v>
      </c>
      <c r="C65" s="54">
        <v>0.51399885000000001</v>
      </c>
      <c r="D65" s="54">
        <v>11095.423000000001</v>
      </c>
      <c r="E65" s="54">
        <v>2194.9702000000002</v>
      </c>
      <c r="F65" s="54">
        <v>1044.27</v>
      </c>
      <c r="G65" s="54">
        <v>2046.9694</v>
      </c>
      <c r="H65" s="54">
        <v>880.40088000000003</v>
      </c>
      <c r="I65" s="54">
        <v>619.90602000000001</v>
      </c>
      <c r="J65" s="54">
        <v>419.69306</v>
      </c>
      <c r="K65" s="55">
        <v>3889.2139000000002</v>
      </c>
      <c r="L65" s="55">
        <v>5811.2969999999996</v>
      </c>
    </row>
    <row r="66" spans="1:12">
      <c r="A66" s="49" t="s">
        <v>20</v>
      </c>
      <c r="B66" s="54">
        <v>8066.8024999999998</v>
      </c>
      <c r="C66" s="54">
        <v>0</v>
      </c>
      <c r="D66" s="54">
        <v>8066.8024999999998</v>
      </c>
      <c r="E66" s="54">
        <v>1404.0210999999999</v>
      </c>
      <c r="F66" s="54">
        <v>640.19273999999996</v>
      </c>
      <c r="G66" s="54">
        <v>1977.4469999999999</v>
      </c>
      <c r="H66" s="54">
        <v>685.49041999999997</v>
      </c>
      <c r="I66" s="54">
        <v>681.88649999999996</v>
      </c>
      <c r="J66" s="54">
        <v>280.69583</v>
      </c>
      <c r="K66" s="55">
        <v>2397.069</v>
      </c>
      <c r="L66" s="55">
        <v>1904.3140000000001</v>
      </c>
    </row>
    <row r="67" spans="1:12">
      <c r="A67" s="49" t="s">
        <v>34</v>
      </c>
      <c r="B67" s="54">
        <v>9980.6178999999993</v>
      </c>
      <c r="C67" s="54">
        <v>0</v>
      </c>
      <c r="D67" s="54">
        <v>9980.6178999999993</v>
      </c>
      <c r="E67" s="54">
        <v>1993.1442999999999</v>
      </c>
      <c r="F67" s="54">
        <v>907.91763000000003</v>
      </c>
      <c r="G67" s="54">
        <v>2502.6617999999999</v>
      </c>
      <c r="H67" s="54">
        <v>551.00986999999998</v>
      </c>
      <c r="I67" s="54">
        <v>912.99435000000005</v>
      </c>
      <c r="J67" s="54">
        <v>338.45495</v>
      </c>
      <c r="K67" s="55">
        <v>2774.4351000000001</v>
      </c>
      <c r="L67" s="55">
        <v>1106.2270000000001</v>
      </c>
    </row>
    <row r="68" spans="1:12">
      <c r="A68" s="49" t="s">
        <v>52</v>
      </c>
      <c r="B68" s="54">
        <v>10539.111000000001</v>
      </c>
      <c r="C68" s="54">
        <v>2.0963700000000002E-3</v>
      </c>
      <c r="D68" s="54">
        <v>10539.108</v>
      </c>
      <c r="E68" s="54">
        <v>1919.8762999999999</v>
      </c>
      <c r="F68" s="54">
        <v>1718.2748999999999</v>
      </c>
      <c r="G68" s="54">
        <v>1638.9245000000001</v>
      </c>
      <c r="H68" s="54">
        <v>1334.7751000000001</v>
      </c>
      <c r="I68" s="54">
        <v>758.01567999999997</v>
      </c>
      <c r="J68" s="54">
        <v>266.71634</v>
      </c>
      <c r="K68" s="55">
        <v>2902.5255999999999</v>
      </c>
      <c r="L68" s="55">
        <v>3339.1129999999998</v>
      </c>
    </row>
    <row r="69" spans="1:12">
      <c r="A69" s="49" t="s">
        <v>58</v>
      </c>
      <c r="B69" s="54">
        <v>17192.805</v>
      </c>
      <c r="C69" s="54">
        <v>17.978093999999999</v>
      </c>
      <c r="D69" s="54">
        <v>17174.827000000001</v>
      </c>
      <c r="E69" s="54">
        <v>3192.6666</v>
      </c>
      <c r="F69" s="54">
        <v>1664.5199</v>
      </c>
      <c r="G69" s="54">
        <v>1577.3767</v>
      </c>
      <c r="H69" s="54">
        <v>3403.627</v>
      </c>
      <c r="I69" s="54">
        <v>1281.2887000000001</v>
      </c>
      <c r="J69" s="54">
        <v>383.04834</v>
      </c>
      <c r="K69" s="55">
        <v>5672.2992999999997</v>
      </c>
      <c r="L69" s="55">
        <v>579.48299999999995</v>
      </c>
    </row>
    <row r="70" spans="1:12">
      <c r="A70" s="46"/>
      <c r="B70" s="54"/>
      <c r="C70" s="54"/>
      <c r="D70" s="54"/>
      <c r="E70" s="54"/>
      <c r="F70" s="54"/>
      <c r="G70" s="54"/>
      <c r="H70" s="54"/>
      <c r="I70" s="54"/>
      <c r="J70" s="54"/>
      <c r="K70" s="55"/>
      <c r="L70" s="55"/>
    </row>
    <row r="71" spans="1:12">
      <c r="A71" s="48" t="s">
        <v>503</v>
      </c>
      <c r="B71" s="51">
        <v>13883.34</v>
      </c>
      <c r="C71" s="51">
        <v>50.905568000000002</v>
      </c>
      <c r="D71" s="51">
        <v>13832.433999999999</v>
      </c>
      <c r="E71" s="51">
        <v>2479.5358000000001</v>
      </c>
      <c r="F71" s="51">
        <v>1230.2925</v>
      </c>
      <c r="G71" s="51">
        <v>3434.0585000000001</v>
      </c>
      <c r="H71" s="51">
        <v>1637.4380000000001</v>
      </c>
      <c r="I71" s="51">
        <v>616.88289999999995</v>
      </c>
      <c r="J71" s="51">
        <v>565.52238</v>
      </c>
      <c r="K71" s="52">
        <v>3868.7040000000002</v>
      </c>
      <c r="L71" s="52">
        <v>54286.438999999998</v>
      </c>
    </row>
    <row r="72" spans="1:12">
      <c r="A72" s="49" t="s">
        <v>12</v>
      </c>
      <c r="B72" s="54">
        <v>14755.038</v>
      </c>
      <c r="C72" s="54">
        <v>70.155011999999999</v>
      </c>
      <c r="D72" s="54">
        <v>14684.883</v>
      </c>
      <c r="E72" s="54">
        <v>2527.0682999999999</v>
      </c>
      <c r="F72" s="54">
        <v>1332.3653999999999</v>
      </c>
      <c r="G72" s="54">
        <v>3869.5880999999999</v>
      </c>
      <c r="H72" s="54">
        <v>1741.7384</v>
      </c>
      <c r="I72" s="54">
        <v>607.18417999999997</v>
      </c>
      <c r="J72" s="54">
        <v>636.07006999999999</v>
      </c>
      <c r="K72" s="55">
        <v>3970.8681000000001</v>
      </c>
      <c r="L72" s="55">
        <v>39142.991000000002</v>
      </c>
    </row>
    <row r="73" spans="1:12">
      <c r="A73" s="49" t="s">
        <v>36</v>
      </c>
      <c r="B73" s="54">
        <v>8284.0858000000007</v>
      </c>
      <c r="C73" s="54">
        <v>5.5317153000000001</v>
      </c>
      <c r="D73" s="54">
        <v>8278.5540000000001</v>
      </c>
      <c r="E73" s="54">
        <v>1664.1392000000001</v>
      </c>
      <c r="F73" s="54">
        <v>552.71005000000002</v>
      </c>
      <c r="G73" s="54">
        <v>1540.6528000000001</v>
      </c>
      <c r="H73" s="54">
        <v>642.94232</v>
      </c>
      <c r="I73" s="54">
        <v>668.61735999999996</v>
      </c>
      <c r="J73" s="54">
        <v>465.59816999999998</v>
      </c>
      <c r="K73" s="55">
        <v>2743.8941</v>
      </c>
      <c r="L73" s="55">
        <v>3146.402</v>
      </c>
    </row>
    <row r="74" spans="1:12">
      <c r="A74" s="49" t="s">
        <v>45</v>
      </c>
      <c r="B74" s="54">
        <v>13497.028</v>
      </c>
      <c r="C74" s="54">
        <v>0</v>
      </c>
      <c r="D74" s="54">
        <v>13497.028</v>
      </c>
      <c r="E74" s="54">
        <v>2336.6833999999999</v>
      </c>
      <c r="F74" s="54">
        <v>1221.9570000000001</v>
      </c>
      <c r="G74" s="54">
        <v>3372.8362000000002</v>
      </c>
      <c r="H74" s="54">
        <v>1293.4983</v>
      </c>
      <c r="I74" s="54">
        <v>630.29588000000001</v>
      </c>
      <c r="J74" s="54">
        <v>387.69110000000001</v>
      </c>
      <c r="K74" s="55">
        <v>4254.0657000000001</v>
      </c>
      <c r="L74" s="55">
        <v>4256.3010000000004</v>
      </c>
    </row>
    <row r="75" spans="1:12">
      <c r="A75" s="49" t="s">
        <v>55</v>
      </c>
      <c r="B75" s="54">
        <v>11963.743</v>
      </c>
      <c r="C75" s="54">
        <v>0</v>
      </c>
      <c r="D75" s="54">
        <v>11963.743</v>
      </c>
      <c r="E75" s="54">
        <v>2649.1608000000001</v>
      </c>
      <c r="F75" s="54">
        <v>994.13751999999999</v>
      </c>
      <c r="G75" s="54">
        <v>2034.9763</v>
      </c>
      <c r="H75" s="54">
        <v>1703.37</v>
      </c>
      <c r="I75" s="54">
        <v>637.52300000000002</v>
      </c>
      <c r="J75" s="54">
        <v>347.17872999999997</v>
      </c>
      <c r="K75" s="55">
        <v>3597.3964999999998</v>
      </c>
      <c r="L75" s="55">
        <v>7740.7449999999999</v>
      </c>
    </row>
    <row r="76" spans="1:12">
      <c r="A76" s="46"/>
      <c r="B76" s="54"/>
      <c r="C76" s="54"/>
      <c r="D76" s="54"/>
      <c r="E76" s="54"/>
      <c r="F76" s="54"/>
      <c r="G76" s="54"/>
      <c r="H76" s="54"/>
      <c r="I76" s="54"/>
      <c r="J76" s="54"/>
      <c r="K76" s="55"/>
      <c r="L76" s="55"/>
    </row>
    <row r="77" spans="1:12">
      <c r="A77" s="49" t="s">
        <v>7</v>
      </c>
      <c r="B77" s="54">
        <v>18719.448</v>
      </c>
      <c r="C77" s="54">
        <v>0</v>
      </c>
      <c r="D77" s="54">
        <v>18719.448</v>
      </c>
      <c r="E77" s="54">
        <v>3448.0619000000002</v>
      </c>
      <c r="F77" s="54">
        <v>864.32246999999995</v>
      </c>
      <c r="G77" s="54">
        <v>3614.7521999999999</v>
      </c>
      <c r="H77" s="54">
        <v>1503.7389000000001</v>
      </c>
      <c r="I77" s="54">
        <v>1775.3377</v>
      </c>
      <c r="J77" s="54">
        <v>552.32489999999996</v>
      </c>
      <c r="K77" s="55">
        <v>6960.9102000000003</v>
      </c>
      <c r="L77" s="55">
        <v>734.18200000000002</v>
      </c>
    </row>
    <row r="78" spans="1:12">
      <c r="A78" s="50" t="s">
        <v>19</v>
      </c>
      <c r="B78" s="56">
        <v>12306.636</v>
      </c>
      <c r="C78" s="56">
        <v>0.27778660999999999</v>
      </c>
      <c r="D78" s="56">
        <v>12306.358</v>
      </c>
      <c r="E78" s="56">
        <v>1556.2746</v>
      </c>
      <c r="F78" s="56">
        <v>850.97094000000004</v>
      </c>
      <c r="G78" s="56">
        <v>2510.5587</v>
      </c>
      <c r="H78" s="56">
        <v>891.24516000000006</v>
      </c>
      <c r="I78" s="56">
        <v>673.23587999999995</v>
      </c>
      <c r="J78" s="56">
        <v>399.89524</v>
      </c>
      <c r="K78" s="57">
        <v>5424.1773999999996</v>
      </c>
      <c r="L78" s="57">
        <v>1447.154</v>
      </c>
    </row>
    <row r="79" spans="1:12">
      <c r="A79" s="46"/>
      <c r="B79" s="47"/>
      <c r="C79" s="47"/>
      <c r="D79" s="47"/>
      <c r="E79" s="47"/>
      <c r="F79" s="47"/>
      <c r="G79" s="47"/>
      <c r="H79" s="47"/>
      <c r="I79" s="47"/>
      <c r="J79" s="47"/>
      <c r="K79" s="47"/>
      <c r="L79" s="47"/>
    </row>
    <row r="80" spans="1:12">
      <c r="A80" s="23" t="s">
        <v>504</v>
      </c>
      <c r="B80" s="23"/>
      <c r="C80" s="23"/>
      <c r="D80" s="23"/>
      <c r="E80" s="23"/>
      <c r="F80" s="23"/>
      <c r="G80" s="23"/>
      <c r="H80" s="23"/>
      <c r="I80" s="23"/>
      <c r="J80" s="23"/>
      <c r="K80" s="23"/>
      <c r="L80" s="23"/>
    </row>
    <row r="81" spans="1:12">
      <c r="A81" s="23" t="s">
        <v>505</v>
      </c>
      <c r="B81" s="23"/>
      <c r="C81" s="23"/>
      <c r="D81" s="23"/>
      <c r="E81" s="23"/>
      <c r="F81" s="23"/>
      <c r="G81" s="23"/>
      <c r="H81" s="23"/>
      <c r="I81" s="23"/>
      <c r="J81" s="23"/>
      <c r="K81" s="23"/>
      <c r="L81" s="23"/>
    </row>
    <row r="82" spans="1:12">
      <c r="A82" s="23"/>
      <c r="B82" s="23"/>
      <c r="C82" s="23"/>
      <c r="D82" s="23"/>
      <c r="E82" s="23"/>
      <c r="F82" s="23"/>
      <c r="G82" s="23"/>
      <c r="H82" s="23"/>
      <c r="I82" s="23"/>
      <c r="J82" s="23"/>
      <c r="K82" s="23"/>
      <c r="L82" s="23"/>
    </row>
    <row r="83" spans="1:12">
      <c r="A83" s="114" t="s">
        <v>506</v>
      </c>
      <c r="B83" s="115"/>
      <c r="C83" s="115"/>
      <c r="D83" s="115"/>
      <c r="E83" s="115"/>
      <c r="F83" s="115"/>
      <c r="G83" s="115"/>
      <c r="H83" s="115"/>
      <c r="I83" s="115"/>
      <c r="J83" s="115"/>
      <c r="K83" s="115"/>
      <c r="L83" s="115"/>
    </row>
    <row r="84" spans="1:12">
      <c r="A84" s="115"/>
      <c r="B84" s="115"/>
      <c r="C84" s="115"/>
      <c r="D84" s="115"/>
      <c r="E84" s="115"/>
      <c r="F84" s="115"/>
      <c r="G84" s="115"/>
      <c r="H84" s="115"/>
      <c r="I84" s="115"/>
      <c r="J84" s="115"/>
      <c r="K84" s="115"/>
      <c r="L84" s="115"/>
    </row>
  </sheetData>
  <mergeCells count="1">
    <mergeCell ref="A83:L8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25A2-0378-4492-8F3E-3D1DFF9593D9}">
  <dimension ref="A1:U66"/>
  <sheetViews>
    <sheetView topLeftCell="A32" workbookViewId="0">
      <selection activeCell="B3" sqref="B3:E58"/>
    </sheetView>
  </sheetViews>
  <sheetFormatPr defaultRowHeight="15"/>
  <cols>
    <col min="2" max="2" width="16.7109375" customWidth="1"/>
    <col min="3" max="3" width="17.7109375" customWidth="1"/>
    <col min="4" max="5" width="12" customWidth="1"/>
  </cols>
  <sheetData>
    <row r="1" spans="1:21" ht="22.5" customHeight="1">
      <c r="A1" s="118" t="s">
        <v>507</v>
      </c>
      <c r="B1" s="119"/>
      <c r="C1" s="119"/>
      <c r="D1" s="119"/>
      <c r="E1" s="119"/>
      <c r="F1" s="119"/>
      <c r="G1" s="119"/>
      <c r="H1" s="119"/>
      <c r="I1" s="119"/>
      <c r="J1" s="119"/>
      <c r="K1" s="119"/>
      <c r="L1" s="119"/>
      <c r="M1" s="119"/>
      <c r="N1" s="119"/>
      <c r="O1" s="119"/>
      <c r="P1" s="119"/>
      <c r="Q1" s="119"/>
      <c r="R1" s="119"/>
      <c r="S1" s="119"/>
      <c r="T1" s="119"/>
      <c r="U1" s="119"/>
    </row>
    <row r="2" spans="1:21" hidden="1"/>
    <row r="3" spans="1:21" ht="38.25" customHeight="1">
      <c r="A3" s="117" t="s">
        <v>508</v>
      </c>
      <c r="B3" s="117" t="s">
        <v>509</v>
      </c>
      <c r="C3" s="117"/>
      <c r="D3" s="117" t="s">
        <v>510</v>
      </c>
      <c r="E3" s="117"/>
      <c r="F3" s="75"/>
      <c r="G3" s="75"/>
      <c r="H3" s="75"/>
      <c r="I3" s="75"/>
      <c r="J3" s="75"/>
      <c r="K3" s="75"/>
      <c r="L3" s="75"/>
      <c r="M3" s="75"/>
      <c r="N3" s="75"/>
      <c r="O3" s="75"/>
      <c r="P3" s="75"/>
      <c r="Q3" s="75"/>
      <c r="R3" s="75"/>
      <c r="S3" s="75"/>
      <c r="T3" s="75"/>
      <c r="U3" s="75"/>
    </row>
    <row r="4" spans="1:21" ht="25.5">
      <c r="A4" s="117"/>
      <c r="B4" s="16" t="s">
        <v>511</v>
      </c>
      <c r="C4" s="16" t="s">
        <v>512</v>
      </c>
      <c r="D4" s="16" t="s">
        <v>513</v>
      </c>
      <c r="E4" s="16" t="s">
        <v>514</v>
      </c>
      <c r="H4" s="13" t="s">
        <v>515</v>
      </c>
    </row>
    <row r="5" spans="1:21">
      <c r="A5" s="17" t="s">
        <v>516</v>
      </c>
      <c r="B5" s="15">
        <v>282</v>
      </c>
      <c r="C5" s="18">
        <v>23</v>
      </c>
      <c r="D5" s="15">
        <v>90</v>
      </c>
      <c r="E5" s="15">
        <v>55</v>
      </c>
    </row>
    <row r="6" spans="1:21" ht="25.5">
      <c r="A6" s="17" t="s">
        <v>38</v>
      </c>
      <c r="B6" s="15">
        <v>270</v>
      </c>
      <c r="C6" s="18">
        <v>11</v>
      </c>
      <c r="D6" s="15">
        <v>77</v>
      </c>
      <c r="E6" s="15">
        <v>42</v>
      </c>
    </row>
    <row r="7" spans="1:21" ht="25.5">
      <c r="A7" s="17" t="s">
        <v>29</v>
      </c>
      <c r="B7" s="15">
        <v>269</v>
      </c>
      <c r="C7" s="18">
        <v>10</v>
      </c>
      <c r="D7" s="15">
        <v>77</v>
      </c>
      <c r="E7" s="15">
        <v>40</v>
      </c>
    </row>
    <row r="8" spans="1:21">
      <c r="A8" s="17" t="s">
        <v>52</v>
      </c>
      <c r="B8" s="15">
        <v>265</v>
      </c>
      <c r="C8" s="18">
        <v>6</v>
      </c>
      <c r="D8" s="15">
        <v>75</v>
      </c>
      <c r="E8" s="15">
        <v>36</v>
      </c>
    </row>
    <row r="9" spans="1:21" ht="25.5">
      <c r="A9" s="17" t="s">
        <v>14</v>
      </c>
      <c r="B9" s="15">
        <v>264</v>
      </c>
      <c r="C9" s="18">
        <v>5</v>
      </c>
      <c r="D9" s="15">
        <v>72</v>
      </c>
      <c r="E9" s="15">
        <v>35</v>
      </c>
    </row>
    <row r="10" spans="1:21">
      <c r="A10" s="17" t="s">
        <v>53</v>
      </c>
      <c r="B10" s="15">
        <v>264</v>
      </c>
      <c r="C10" s="18">
        <v>5</v>
      </c>
      <c r="D10" s="15">
        <v>73</v>
      </c>
      <c r="E10" s="15">
        <v>34</v>
      </c>
    </row>
    <row r="11" spans="1:21">
      <c r="A11" s="17" t="s">
        <v>20</v>
      </c>
      <c r="B11" s="15">
        <v>264</v>
      </c>
      <c r="C11" s="18">
        <v>4</v>
      </c>
      <c r="D11" s="15">
        <v>74</v>
      </c>
      <c r="E11" s="15">
        <v>32</v>
      </c>
    </row>
    <row r="12" spans="1:21">
      <c r="A12" s="17" t="s">
        <v>13</v>
      </c>
      <c r="B12" s="15">
        <v>263</v>
      </c>
      <c r="C12" s="18">
        <v>4</v>
      </c>
      <c r="D12" s="15">
        <v>73</v>
      </c>
      <c r="E12" s="15">
        <v>34</v>
      </c>
    </row>
    <row r="13" spans="1:21" ht="38.25">
      <c r="A13" s="17" t="s">
        <v>37</v>
      </c>
      <c r="B13" s="15">
        <v>263</v>
      </c>
      <c r="C13" s="18">
        <v>4</v>
      </c>
      <c r="D13" s="15">
        <v>73</v>
      </c>
      <c r="E13" s="15">
        <v>33</v>
      </c>
    </row>
    <row r="14" spans="1:21" ht="25.5">
      <c r="A14" s="17" t="s">
        <v>57</v>
      </c>
      <c r="B14" s="15">
        <v>262</v>
      </c>
      <c r="C14" s="19">
        <v>3</v>
      </c>
      <c r="D14" s="15">
        <v>72</v>
      </c>
      <c r="E14" s="15">
        <v>32</v>
      </c>
    </row>
    <row r="15" spans="1:21">
      <c r="A15" s="17" t="s">
        <v>43</v>
      </c>
      <c r="B15" s="15">
        <v>262</v>
      </c>
      <c r="C15" s="19">
        <v>3</v>
      </c>
      <c r="D15" s="15">
        <v>71</v>
      </c>
      <c r="E15" s="15">
        <v>33</v>
      </c>
    </row>
    <row r="16" spans="1:21">
      <c r="A16" s="17" t="s">
        <v>21</v>
      </c>
      <c r="B16" s="15">
        <v>262</v>
      </c>
      <c r="C16" s="19">
        <v>3</v>
      </c>
      <c r="D16" s="15">
        <v>71</v>
      </c>
      <c r="E16" s="15">
        <v>32</v>
      </c>
    </row>
    <row r="17" spans="1:5" ht="25.5">
      <c r="A17" s="17" t="s">
        <v>49</v>
      </c>
      <c r="B17" s="15">
        <v>262</v>
      </c>
      <c r="C17" s="18">
        <v>3</v>
      </c>
      <c r="D17" s="15">
        <v>73</v>
      </c>
      <c r="E17" s="15">
        <v>31</v>
      </c>
    </row>
    <row r="18" spans="1:5">
      <c r="A18" s="17" t="s">
        <v>40</v>
      </c>
      <c r="B18" s="15">
        <v>262</v>
      </c>
      <c r="C18" s="19">
        <v>3</v>
      </c>
      <c r="D18" s="15">
        <v>70</v>
      </c>
      <c r="E18" s="15">
        <v>32</v>
      </c>
    </row>
    <row r="19" spans="1:5" ht="25.5">
      <c r="A19" s="17" t="s">
        <v>55</v>
      </c>
      <c r="B19" s="15">
        <v>262</v>
      </c>
      <c r="C19" s="19">
        <v>2</v>
      </c>
      <c r="D19" s="15">
        <v>71</v>
      </c>
      <c r="E19" s="15">
        <v>32</v>
      </c>
    </row>
    <row r="20" spans="1:5">
      <c r="A20" s="17" t="s">
        <v>34</v>
      </c>
      <c r="B20" s="15">
        <v>261</v>
      </c>
      <c r="C20" s="19">
        <v>2</v>
      </c>
      <c r="D20" s="15">
        <v>72</v>
      </c>
      <c r="E20" s="15">
        <v>29</v>
      </c>
    </row>
    <row r="21" spans="1:5">
      <c r="A21" s="17" t="s">
        <v>58</v>
      </c>
      <c r="B21" s="15">
        <v>261</v>
      </c>
      <c r="C21" s="19">
        <v>2</v>
      </c>
      <c r="D21" s="15">
        <v>71</v>
      </c>
      <c r="E21" s="15">
        <v>30</v>
      </c>
    </row>
    <row r="22" spans="1:5">
      <c r="A22" s="17" t="s">
        <v>22</v>
      </c>
      <c r="B22" s="15">
        <v>261</v>
      </c>
      <c r="C22" s="19">
        <v>1</v>
      </c>
      <c r="D22" s="15">
        <v>70</v>
      </c>
      <c r="E22" s="15">
        <v>31</v>
      </c>
    </row>
    <row r="23" spans="1:5" ht="25.5">
      <c r="A23" s="17" t="s">
        <v>31</v>
      </c>
      <c r="B23" s="15">
        <v>260</v>
      </c>
      <c r="C23" s="19">
        <v>1</v>
      </c>
      <c r="D23" s="15">
        <v>72</v>
      </c>
      <c r="E23" s="15">
        <v>30</v>
      </c>
    </row>
    <row r="24" spans="1:5">
      <c r="A24" s="17" t="s">
        <v>18</v>
      </c>
      <c r="B24" s="15">
        <v>260</v>
      </c>
      <c r="C24" s="19">
        <v>1</v>
      </c>
      <c r="D24" s="15">
        <v>69</v>
      </c>
      <c r="E24" s="15">
        <v>31</v>
      </c>
    </row>
    <row r="25" spans="1:5">
      <c r="A25" s="17" t="s">
        <v>23</v>
      </c>
      <c r="B25" s="15">
        <v>260</v>
      </c>
      <c r="C25" s="19">
        <v>1</v>
      </c>
      <c r="D25" s="15">
        <v>71</v>
      </c>
      <c r="E25" s="15">
        <v>29</v>
      </c>
    </row>
    <row r="26" spans="1:5">
      <c r="A26" s="17" t="s">
        <v>17</v>
      </c>
      <c r="B26" s="15">
        <v>260</v>
      </c>
      <c r="C26" s="19">
        <v>1</v>
      </c>
      <c r="D26" s="15">
        <v>69</v>
      </c>
      <c r="E26" s="15">
        <v>29</v>
      </c>
    </row>
    <row r="27" spans="1:5">
      <c r="A27" s="17" t="s">
        <v>54</v>
      </c>
      <c r="B27" s="15">
        <v>260</v>
      </c>
      <c r="C27" s="19" t="s">
        <v>517</v>
      </c>
      <c r="D27" s="15">
        <v>69</v>
      </c>
      <c r="E27" s="15">
        <v>31</v>
      </c>
    </row>
    <row r="28" spans="1:5" ht="25.5">
      <c r="A28" s="17" t="s">
        <v>47</v>
      </c>
      <c r="B28" s="15">
        <v>259</v>
      </c>
      <c r="C28" s="19" t="s">
        <v>517</v>
      </c>
      <c r="D28" s="15">
        <v>68</v>
      </c>
      <c r="E28" s="15">
        <v>31</v>
      </c>
    </row>
    <row r="29" spans="1:5">
      <c r="A29" s="17" t="s">
        <v>35</v>
      </c>
      <c r="B29" s="15">
        <v>259</v>
      </c>
      <c r="C29" s="19" t="s">
        <v>517</v>
      </c>
      <c r="D29" s="15">
        <v>70</v>
      </c>
      <c r="E29" s="15">
        <v>29</v>
      </c>
    </row>
    <row r="30" spans="1:5">
      <c r="A30" s="17" t="s">
        <v>28</v>
      </c>
      <c r="B30" s="15">
        <v>259</v>
      </c>
      <c r="C30" s="19" t="s">
        <v>517</v>
      </c>
      <c r="D30" s="15">
        <v>67</v>
      </c>
      <c r="E30" s="15">
        <v>33</v>
      </c>
    </row>
    <row r="31" spans="1:5" ht="25.5">
      <c r="A31" s="7" t="s">
        <v>518</v>
      </c>
      <c r="B31" s="8">
        <v>259</v>
      </c>
      <c r="C31" s="8" t="s">
        <v>197</v>
      </c>
      <c r="D31" s="8">
        <v>68</v>
      </c>
      <c r="E31" s="8">
        <v>29</v>
      </c>
    </row>
    <row r="32" spans="1:5" ht="25.5">
      <c r="A32" s="17" t="s">
        <v>46</v>
      </c>
      <c r="B32" s="15">
        <v>259</v>
      </c>
      <c r="C32" s="19" t="s">
        <v>517</v>
      </c>
      <c r="D32" s="15">
        <v>68</v>
      </c>
      <c r="E32" s="15">
        <v>31</v>
      </c>
    </row>
    <row r="33" spans="1:5">
      <c r="A33" s="17" t="s">
        <v>19</v>
      </c>
      <c r="B33" s="15">
        <v>259</v>
      </c>
      <c r="C33" s="19" t="s">
        <v>517</v>
      </c>
      <c r="D33" s="15">
        <v>68</v>
      </c>
      <c r="E33" s="15">
        <v>31</v>
      </c>
    </row>
    <row r="34" spans="1:5">
      <c r="A34" s="17" t="s">
        <v>36</v>
      </c>
      <c r="B34" s="15">
        <v>259</v>
      </c>
      <c r="C34" s="19" t="s">
        <v>517</v>
      </c>
      <c r="D34" s="15">
        <v>68</v>
      </c>
      <c r="E34" s="15">
        <v>29</v>
      </c>
    </row>
    <row r="35" spans="1:5">
      <c r="A35" s="17" t="s">
        <v>12</v>
      </c>
      <c r="B35" s="15">
        <v>259</v>
      </c>
      <c r="C35" s="19" t="s">
        <v>517</v>
      </c>
      <c r="D35" s="15">
        <v>67</v>
      </c>
      <c r="E35" s="15">
        <v>30</v>
      </c>
    </row>
    <row r="36" spans="1:5">
      <c r="A36" s="17" t="s">
        <v>8</v>
      </c>
      <c r="B36" s="15">
        <v>259</v>
      </c>
      <c r="C36" s="19">
        <v>-1</v>
      </c>
      <c r="D36" s="15">
        <v>68</v>
      </c>
      <c r="E36" s="15">
        <v>28</v>
      </c>
    </row>
    <row r="37" spans="1:5">
      <c r="A37" s="17" t="s">
        <v>30</v>
      </c>
      <c r="B37" s="15">
        <v>259</v>
      </c>
      <c r="C37" s="19">
        <v>-1</v>
      </c>
      <c r="D37" s="15">
        <v>68</v>
      </c>
      <c r="E37" s="15">
        <v>28</v>
      </c>
    </row>
    <row r="38" spans="1:5">
      <c r="A38" s="17" t="s">
        <v>25</v>
      </c>
      <c r="B38" s="15">
        <v>258</v>
      </c>
      <c r="C38" s="19">
        <v>-1</v>
      </c>
      <c r="D38" s="15">
        <v>68</v>
      </c>
      <c r="E38" s="15">
        <v>29</v>
      </c>
    </row>
    <row r="39" spans="1:5" ht="25.5">
      <c r="A39" s="17" t="s">
        <v>42</v>
      </c>
      <c r="B39" s="15">
        <v>258</v>
      </c>
      <c r="C39" s="19">
        <v>-1</v>
      </c>
      <c r="D39" s="15">
        <v>69</v>
      </c>
      <c r="E39" s="15">
        <v>27</v>
      </c>
    </row>
    <row r="40" spans="1:5">
      <c r="A40" s="17" t="s">
        <v>33</v>
      </c>
      <c r="B40" s="15">
        <v>258</v>
      </c>
      <c r="C40" s="19">
        <v>-1</v>
      </c>
      <c r="D40" s="15">
        <v>67</v>
      </c>
      <c r="E40" s="15">
        <v>28</v>
      </c>
    </row>
    <row r="41" spans="1:5" ht="25.5">
      <c r="A41" s="17" t="s">
        <v>50</v>
      </c>
      <c r="B41" s="15">
        <v>258</v>
      </c>
      <c r="C41" s="19">
        <v>-2</v>
      </c>
      <c r="D41" s="15">
        <v>67</v>
      </c>
      <c r="E41" s="15">
        <v>28</v>
      </c>
    </row>
    <row r="42" spans="1:5">
      <c r="A42" s="17" t="s">
        <v>45</v>
      </c>
      <c r="B42" s="15">
        <v>257</v>
      </c>
      <c r="C42" s="19">
        <v>-2</v>
      </c>
      <c r="D42" s="15">
        <v>67</v>
      </c>
      <c r="E42" s="15">
        <v>28</v>
      </c>
    </row>
    <row r="43" spans="1:5">
      <c r="A43" s="17" t="s">
        <v>27</v>
      </c>
      <c r="B43" s="15">
        <v>257</v>
      </c>
      <c r="C43" s="19">
        <v>-2</v>
      </c>
      <c r="D43" s="15">
        <v>66</v>
      </c>
      <c r="E43" s="15">
        <v>29</v>
      </c>
    </row>
    <row r="44" spans="1:5">
      <c r="A44" s="17" t="s">
        <v>26</v>
      </c>
      <c r="B44" s="15">
        <v>257</v>
      </c>
      <c r="C44" s="19">
        <v>-2</v>
      </c>
      <c r="D44" s="15">
        <v>66</v>
      </c>
      <c r="E44" s="15">
        <v>27</v>
      </c>
    </row>
    <row r="45" spans="1:5">
      <c r="A45" s="17" t="s">
        <v>24</v>
      </c>
      <c r="B45" s="15">
        <v>256</v>
      </c>
      <c r="C45" s="6">
        <v>-3</v>
      </c>
      <c r="D45" s="15">
        <v>67</v>
      </c>
      <c r="E45" s="15">
        <v>26</v>
      </c>
    </row>
    <row r="46" spans="1:5" ht="25.5">
      <c r="A46" s="17" t="s">
        <v>41</v>
      </c>
      <c r="B46" s="15">
        <v>256</v>
      </c>
      <c r="C46" s="19">
        <v>-3</v>
      </c>
      <c r="D46" s="15">
        <v>66</v>
      </c>
      <c r="E46" s="15">
        <v>26</v>
      </c>
    </row>
    <row r="47" spans="1:5">
      <c r="A47" s="17" t="s">
        <v>51</v>
      </c>
      <c r="B47" s="15">
        <v>255</v>
      </c>
      <c r="C47" s="6">
        <v>-4</v>
      </c>
      <c r="D47" s="15">
        <v>66</v>
      </c>
      <c r="E47" s="15">
        <v>23</v>
      </c>
    </row>
    <row r="48" spans="1:5">
      <c r="A48" s="17" t="s">
        <v>10</v>
      </c>
      <c r="B48" s="15">
        <v>255</v>
      </c>
      <c r="C48" s="6">
        <v>-4</v>
      </c>
      <c r="D48" s="15">
        <v>64</v>
      </c>
      <c r="E48" s="15">
        <v>26</v>
      </c>
    </row>
    <row r="49" spans="1:8" ht="25.5">
      <c r="A49" s="17" t="s">
        <v>48</v>
      </c>
      <c r="B49" s="15">
        <v>254</v>
      </c>
      <c r="C49" s="6">
        <v>-5</v>
      </c>
      <c r="D49" s="15">
        <v>63</v>
      </c>
      <c r="E49" s="15">
        <v>27</v>
      </c>
    </row>
    <row r="50" spans="1:8">
      <c r="A50" s="17" t="s">
        <v>15</v>
      </c>
      <c r="B50" s="15">
        <v>253</v>
      </c>
      <c r="C50" s="6">
        <v>-6</v>
      </c>
      <c r="D50" s="15">
        <v>62</v>
      </c>
      <c r="E50" s="15">
        <v>24</v>
      </c>
    </row>
    <row r="51" spans="1:8" ht="25.5">
      <c r="A51" s="17" t="s">
        <v>32</v>
      </c>
      <c r="B51" s="15">
        <v>253</v>
      </c>
      <c r="C51" s="6">
        <v>-6</v>
      </c>
      <c r="D51" s="15">
        <v>63</v>
      </c>
      <c r="E51" s="15">
        <v>22</v>
      </c>
    </row>
    <row r="52" spans="1:8">
      <c r="A52" s="17" t="s">
        <v>7</v>
      </c>
      <c r="B52" s="15">
        <v>253</v>
      </c>
      <c r="C52" s="6">
        <v>-7</v>
      </c>
      <c r="D52" s="15">
        <v>63</v>
      </c>
      <c r="E52" s="15">
        <v>26</v>
      </c>
      <c r="F52" s="75"/>
      <c r="G52" s="75"/>
      <c r="H52" s="75"/>
    </row>
    <row r="53" spans="1:8" ht="25.5">
      <c r="A53" s="17" t="s">
        <v>44</v>
      </c>
      <c r="B53" s="15">
        <v>251</v>
      </c>
      <c r="C53" s="6">
        <v>-8</v>
      </c>
      <c r="D53" s="15">
        <v>62</v>
      </c>
      <c r="E53" s="15">
        <v>21</v>
      </c>
      <c r="F53" s="75"/>
      <c r="G53" s="75"/>
      <c r="H53" s="75"/>
    </row>
    <row r="54" spans="1:8">
      <c r="A54" s="17" t="s">
        <v>5</v>
      </c>
      <c r="B54" s="15">
        <v>251</v>
      </c>
      <c r="C54" s="6">
        <v>-8</v>
      </c>
      <c r="D54" s="15">
        <v>61</v>
      </c>
      <c r="E54" s="15">
        <v>22</v>
      </c>
      <c r="F54" s="75"/>
      <c r="G54" s="75"/>
      <c r="H54" s="75"/>
    </row>
    <row r="55" spans="1:8" ht="25.5">
      <c r="A55" s="17" t="s">
        <v>16</v>
      </c>
      <c r="B55" s="15">
        <v>250</v>
      </c>
      <c r="C55" s="6">
        <v>-9</v>
      </c>
      <c r="D55" s="15">
        <v>57</v>
      </c>
      <c r="E55" s="15">
        <v>22</v>
      </c>
      <c r="F55" s="75"/>
      <c r="G55" s="75"/>
      <c r="H55" s="75"/>
    </row>
    <row r="56" spans="1:8" ht="25.5">
      <c r="A56" s="17" t="s">
        <v>56</v>
      </c>
      <c r="B56" s="15">
        <v>249</v>
      </c>
      <c r="C56" s="6">
        <v>-10</v>
      </c>
      <c r="D56" s="15">
        <v>60</v>
      </c>
      <c r="E56" s="15">
        <v>22</v>
      </c>
      <c r="F56" s="75"/>
      <c r="G56" s="75"/>
      <c r="H56" s="75"/>
    </row>
    <row r="57" spans="1:8" ht="25.5">
      <c r="A57" s="17" t="s">
        <v>39</v>
      </c>
      <c r="B57" s="15">
        <v>248</v>
      </c>
      <c r="C57" s="6">
        <v>-11</v>
      </c>
      <c r="D57" s="15">
        <v>57</v>
      </c>
      <c r="E57" s="15">
        <v>18</v>
      </c>
      <c r="F57" s="75"/>
      <c r="G57" s="75"/>
      <c r="H57" s="75"/>
    </row>
    <row r="58" spans="1:8" ht="25.5">
      <c r="A58" s="17" t="s">
        <v>519</v>
      </c>
      <c r="B58" s="15" t="s">
        <v>456</v>
      </c>
      <c r="C58" s="20" t="s">
        <v>197</v>
      </c>
      <c r="D58" s="15" t="s">
        <v>456</v>
      </c>
      <c r="E58" s="15" t="s">
        <v>456</v>
      </c>
      <c r="F58" s="75"/>
      <c r="G58" s="75"/>
      <c r="H58" s="75"/>
    </row>
    <row r="60" spans="1:8">
      <c r="A60" s="9" t="s">
        <v>520</v>
      </c>
      <c r="B60" s="10" t="s">
        <v>520</v>
      </c>
      <c r="C60" s="11" t="s">
        <v>520</v>
      </c>
      <c r="D60" s="75"/>
      <c r="E60" s="75"/>
      <c r="F60" s="75"/>
      <c r="G60" s="75"/>
      <c r="H60" s="75"/>
    </row>
    <row r="61" spans="1:8" ht="36">
      <c r="A61" s="12" t="s">
        <v>521</v>
      </c>
      <c r="B61" s="12" t="s">
        <v>522</v>
      </c>
      <c r="C61" s="12" t="s">
        <v>523</v>
      </c>
      <c r="D61" s="75"/>
      <c r="E61" s="75"/>
      <c r="F61" s="75"/>
      <c r="G61" s="75"/>
      <c r="H61" s="75"/>
    </row>
    <row r="63" spans="1:8">
      <c r="A63" s="116" t="s">
        <v>458</v>
      </c>
      <c r="B63" s="119"/>
      <c r="C63" s="119"/>
      <c r="D63" s="119"/>
      <c r="E63" s="119"/>
      <c r="F63" s="119"/>
      <c r="G63" s="119"/>
      <c r="H63" s="119"/>
    </row>
    <row r="64" spans="1:8">
      <c r="A64" s="116" t="s">
        <v>419</v>
      </c>
      <c r="B64" s="119"/>
      <c r="C64" s="119"/>
      <c r="D64" s="119"/>
      <c r="E64" s="119"/>
      <c r="F64" s="119"/>
      <c r="G64" s="119"/>
      <c r="H64" s="119"/>
    </row>
    <row r="65" spans="1:8" ht="33.75" customHeight="1">
      <c r="A65" s="116" t="s">
        <v>524</v>
      </c>
      <c r="B65" s="119"/>
      <c r="C65" s="119"/>
      <c r="D65" s="119"/>
      <c r="E65" s="119"/>
      <c r="F65" s="119"/>
      <c r="G65" s="119"/>
      <c r="H65" s="119"/>
    </row>
    <row r="66" spans="1:8" ht="39" customHeight="1">
      <c r="A66" s="116" t="s">
        <v>525</v>
      </c>
      <c r="B66" s="119"/>
      <c r="C66" s="119"/>
      <c r="D66" s="119"/>
      <c r="E66" s="119"/>
      <c r="F66" s="119"/>
      <c r="G66" s="119"/>
      <c r="H66" s="119"/>
    </row>
  </sheetData>
  <mergeCells count="8">
    <mergeCell ref="A63:H63"/>
    <mergeCell ref="A64:H64"/>
    <mergeCell ref="A65:H65"/>
    <mergeCell ref="A66:H66"/>
    <mergeCell ref="A1:U1"/>
    <mergeCell ref="A3:A4"/>
    <mergeCell ref="B3:C3"/>
    <mergeCell ref="D3: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BD9B-145B-444F-B62A-63FEE5593EC1}">
  <dimension ref="A1:U66"/>
  <sheetViews>
    <sheetView workbookViewId="0">
      <selection activeCell="K61" sqref="K61"/>
    </sheetView>
  </sheetViews>
  <sheetFormatPr defaultRowHeight="15"/>
  <cols>
    <col min="1" max="1" width="20.140625" customWidth="1"/>
    <col min="2" max="2" width="13.5703125" customWidth="1"/>
    <col min="3" max="3" width="18.7109375" customWidth="1"/>
    <col min="4" max="4" width="17.85546875" customWidth="1"/>
    <col min="5" max="5" width="15.5703125" customWidth="1"/>
  </cols>
  <sheetData>
    <row r="1" spans="1:21" ht="23.25">
      <c r="A1" s="118" t="s">
        <v>507</v>
      </c>
      <c r="B1" s="119"/>
      <c r="C1" s="119"/>
      <c r="D1" s="119"/>
      <c r="E1" s="119"/>
      <c r="F1" s="119"/>
      <c r="G1" s="119"/>
      <c r="H1" s="119"/>
      <c r="I1" s="119"/>
      <c r="J1" s="119"/>
      <c r="K1" s="119"/>
      <c r="L1" s="119"/>
      <c r="M1" s="119"/>
      <c r="N1" s="119"/>
      <c r="O1" s="119"/>
      <c r="P1" s="119"/>
      <c r="Q1" s="119"/>
      <c r="R1" s="119"/>
      <c r="S1" s="119"/>
      <c r="T1" s="119"/>
      <c r="U1" s="119"/>
    </row>
    <row r="2" spans="1:21" ht="4.5" customHeight="1"/>
    <row r="3" spans="1:21" ht="42" customHeight="1">
      <c r="A3" s="117" t="s">
        <v>508</v>
      </c>
      <c r="B3" s="117" t="s">
        <v>509</v>
      </c>
      <c r="C3" s="117"/>
      <c r="D3" s="117" t="s">
        <v>510</v>
      </c>
      <c r="E3" s="117"/>
      <c r="F3" s="75"/>
      <c r="G3" s="75"/>
      <c r="H3" s="75"/>
      <c r="I3" s="75"/>
      <c r="J3" s="75"/>
      <c r="K3" s="75"/>
      <c r="L3" s="75"/>
      <c r="M3" s="75"/>
      <c r="N3" s="75"/>
      <c r="O3" s="75"/>
      <c r="P3" s="75"/>
      <c r="Q3" s="75"/>
      <c r="R3" s="75"/>
      <c r="S3" s="75"/>
      <c r="T3" s="75"/>
      <c r="U3" s="75"/>
    </row>
    <row r="4" spans="1:21" ht="25.5">
      <c r="A4" s="117"/>
      <c r="B4" s="16" t="s">
        <v>511</v>
      </c>
      <c r="C4" s="16" t="s">
        <v>512</v>
      </c>
      <c r="D4" s="16" t="s">
        <v>513</v>
      </c>
      <c r="E4" s="16" t="s">
        <v>514</v>
      </c>
      <c r="G4" s="14" t="s">
        <v>526</v>
      </c>
    </row>
    <row r="5" spans="1:21">
      <c r="A5" s="17" t="s">
        <v>516</v>
      </c>
      <c r="B5" s="15">
        <v>292</v>
      </c>
      <c r="C5" s="18">
        <v>18</v>
      </c>
      <c r="D5" s="15">
        <v>82</v>
      </c>
      <c r="E5" s="15">
        <v>41</v>
      </c>
    </row>
    <row r="6" spans="1:21" ht="25.5">
      <c r="A6" s="17" t="s">
        <v>29</v>
      </c>
      <c r="B6" s="15">
        <v>284</v>
      </c>
      <c r="C6" s="18">
        <v>10</v>
      </c>
      <c r="D6" s="15">
        <v>70</v>
      </c>
      <c r="E6" s="15">
        <v>35</v>
      </c>
    </row>
    <row r="7" spans="1:21">
      <c r="A7" s="17" t="s">
        <v>52</v>
      </c>
      <c r="B7" s="15">
        <v>282</v>
      </c>
      <c r="C7" s="18">
        <v>9</v>
      </c>
      <c r="D7" s="15">
        <v>70</v>
      </c>
      <c r="E7" s="15">
        <v>35</v>
      </c>
    </row>
    <row r="8" spans="1:21">
      <c r="A8" s="17" t="s">
        <v>20</v>
      </c>
      <c r="B8" s="15">
        <v>282</v>
      </c>
      <c r="C8" s="18">
        <v>9</v>
      </c>
      <c r="D8" s="15">
        <v>71</v>
      </c>
      <c r="E8" s="15">
        <v>32</v>
      </c>
    </row>
    <row r="9" spans="1:21" ht="25.5">
      <c r="A9" s="17" t="s">
        <v>49</v>
      </c>
      <c r="B9" s="15">
        <v>281</v>
      </c>
      <c r="C9" s="18">
        <v>8</v>
      </c>
      <c r="D9" s="15">
        <v>72</v>
      </c>
      <c r="E9" s="15">
        <v>32</v>
      </c>
    </row>
    <row r="10" spans="1:21" ht="25.5">
      <c r="A10" s="17" t="s">
        <v>57</v>
      </c>
      <c r="B10" s="15">
        <v>281</v>
      </c>
      <c r="C10" s="18">
        <v>8</v>
      </c>
      <c r="D10" s="15">
        <v>70</v>
      </c>
      <c r="E10" s="15">
        <v>33</v>
      </c>
    </row>
    <row r="11" spans="1:21">
      <c r="A11" s="17" t="s">
        <v>58</v>
      </c>
      <c r="B11" s="15">
        <v>281</v>
      </c>
      <c r="C11" s="18">
        <v>8</v>
      </c>
      <c r="D11" s="15">
        <v>72</v>
      </c>
      <c r="E11" s="15">
        <v>31</v>
      </c>
    </row>
    <row r="12" spans="1:21" ht="25.5">
      <c r="A12" s="17" t="s">
        <v>38</v>
      </c>
      <c r="B12" s="15">
        <v>281</v>
      </c>
      <c r="C12" s="18">
        <v>8</v>
      </c>
      <c r="D12" s="15">
        <v>67</v>
      </c>
      <c r="E12" s="15">
        <v>33</v>
      </c>
    </row>
    <row r="13" spans="1:21" ht="25.5">
      <c r="A13" s="17" t="s">
        <v>31</v>
      </c>
      <c r="B13" s="15">
        <v>280</v>
      </c>
      <c r="C13" s="18">
        <v>7</v>
      </c>
      <c r="D13" s="15">
        <v>69</v>
      </c>
      <c r="E13" s="15">
        <v>32</v>
      </c>
    </row>
    <row r="14" spans="1:21">
      <c r="A14" s="17" t="s">
        <v>35</v>
      </c>
      <c r="B14" s="15">
        <v>279</v>
      </c>
      <c r="C14" s="18">
        <v>6</v>
      </c>
      <c r="D14" s="15">
        <v>68</v>
      </c>
      <c r="E14" s="15">
        <v>31</v>
      </c>
    </row>
    <row r="15" spans="1:21">
      <c r="A15" s="17" t="s">
        <v>54</v>
      </c>
      <c r="B15" s="15">
        <v>279</v>
      </c>
      <c r="C15" s="18">
        <v>6</v>
      </c>
      <c r="D15" s="15">
        <v>65</v>
      </c>
      <c r="E15" s="15">
        <v>31</v>
      </c>
    </row>
    <row r="16" spans="1:21">
      <c r="A16" s="17" t="s">
        <v>22</v>
      </c>
      <c r="B16" s="15">
        <v>279</v>
      </c>
      <c r="C16" s="18">
        <v>6</v>
      </c>
      <c r="D16" s="15">
        <v>66</v>
      </c>
      <c r="E16" s="15">
        <v>30</v>
      </c>
    </row>
    <row r="17" spans="1:5" ht="38.25">
      <c r="A17" s="17" t="s">
        <v>37</v>
      </c>
      <c r="B17" s="15">
        <v>279</v>
      </c>
      <c r="C17" s="18">
        <v>5</v>
      </c>
      <c r="D17" s="15">
        <v>70</v>
      </c>
      <c r="E17" s="15">
        <v>29</v>
      </c>
    </row>
    <row r="18" spans="1:5">
      <c r="A18" s="17" t="s">
        <v>42</v>
      </c>
      <c r="B18" s="15">
        <v>278</v>
      </c>
      <c r="C18" s="18">
        <v>5</v>
      </c>
      <c r="D18" s="15">
        <v>69</v>
      </c>
      <c r="E18" s="15">
        <v>28</v>
      </c>
    </row>
    <row r="19" spans="1:5">
      <c r="A19" s="17" t="s">
        <v>34</v>
      </c>
      <c r="B19" s="15">
        <v>277</v>
      </c>
      <c r="C19" s="18">
        <v>4</v>
      </c>
      <c r="D19" s="15">
        <v>68</v>
      </c>
      <c r="E19" s="15">
        <v>29</v>
      </c>
    </row>
    <row r="20" spans="1:5">
      <c r="A20" s="17" t="s">
        <v>23</v>
      </c>
      <c r="B20" s="15">
        <v>277</v>
      </c>
      <c r="C20" s="18">
        <v>4</v>
      </c>
      <c r="D20" s="15">
        <v>67</v>
      </c>
      <c r="E20" s="15">
        <v>28</v>
      </c>
    </row>
    <row r="21" spans="1:5">
      <c r="A21" s="17" t="s">
        <v>14</v>
      </c>
      <c r="B21" s="15">
        <v>276</v>
      </c>
      <c r="C21" s="18">
        <v>3</v>
      </c>
      <c r="D21" s="15">
        <v>63</v>
      </c>
      <c r="E21" s="15">
        <v>30</v>
      </c>
    </row>
    <row r="22" spans="1:5">
      <c r="A22" s="17" t="s">
        <v>53</v>
      </c>
      <c r="B22" s="15">
        <v>276</v>
      </c>
      <c r="C22" s="18">
        <v>3</v>
      </c>
      <c r="D22" s="15">
        <v>66</v>
      </c>
      <c r="E22" s="15">
        <v>27</v>
      </c>
    </row>
    <row r="23" spans="1:5">
      <c r="A23" s="17" t="s">
        <v>55</v>
      </c>
      <c r="B23" s="15">
        <v>276</v>
      </c>
      <c r="C23" s="18">
        <v>3</v>
      </c>
      <c r="D23" s="15">
        <v>64</v>
      </c>
      <c r="E23" s="15">
        <v>28</v>
      </c>
    </row>
    <row r="24" spans="1:5">
      <c r="A24" s="17" t="s">
        <v>43</v>
      </c>
      <c r="B24" s="15">
        <v>276</v>
      </c>
      <c r="C24" s="19">
        <v>3</v>
      </c>
      <c r="D24" s="15">
        <v>64</v>
      </c>
      <c r="E24" s="15">
        <v>29</v>
      </c>
    </row>
    <row r="25" spans="1:5">
      <c r="A25" s="17" t="s">
        <v>21</v>
      </c>
      <c r="B25" s="15">
        <v>275</v>
      </c>
      <c r="C25" s="19">
        <v>2</v>
      </c>
      <c r="D25" s="15">
        <v>62</v>
      </c>
      <c r="E25" s="15">
        <v>27</v>
      </c>
    </row>
    <row r="26" spans="1:5">
      <c r="A26" s="17" t="s">
        <v>13</v>
      </c>
      <c r="B26" s="15">
        <v>275</v>
      </c>
      <c r="C26" s="19">
        <v>2</v>
      </c>
      <c r="D26" s="15">
        <v>63</v>
      </c>
      <c r="E26" s="15">
        <v>28</v>
      </c>
    </row>
    <row r="27" spans="1:5">
      <c r="A27" s="17" t="s">
        <v>46</v>
      </c>
      <c r="B27" s="15">
        <v>274</v>
      </c>
      <c r="C27" s="19">
        <v>1</v>
      </c>
      <c r="D27" s="15">
        <v>62</v>
      </c>
      <c r="E27" s="15">
        <v>27</v>
      </c>
    </row>
    <row r="28" spans="1:5">
      <c r="A28" s="17" t="s">
        <v>40</v>
      </c>
      <c r="B28" s="15">
        <v>274</v>
      </c>
      <c r="C28" s="19">
        <v>1</v>
      </c>
      <c r="D28" s="15">
        <v>60</v>
      </c>
      <c r="E28" s="15">
        <v>28</v>
      </c>
    </row>
    <row r="29" spans="1:5">
      <c r="A29" s="17" t="s">
        <v>41</v>
      </c>
      <c r="B29" s="15">
        <v>274</v>
      </c>
      <c r="C29" s="19">
        <v>1</v>
      </c>
      <c r="D29" s="15">
        <v>61</v>
      </c>
      <c r="E29" s="15">
        <v>25</v>
      </c>
    </row>
    <row r="30" spans="1:5">
      <c r="A30" s="7" t="s">
        <v>518</v>
      </c>
      <c r="B30" s="8">
        <v>273</v>
      </c>
      <c r="C30" s="8" t="s">
        <v>197</v>
      </c>
      <c r="D30" s="8">
        <v>60</v>
      </c>
      <c r="E30" s="8">
        <v>26</v>
      </c>
    </row>
    <row r="31" spans="1:5">
      <c r="A31" s="17" t="s">
        <v>51</v>
      </c>
      <c r="B31" s="15">
        <v>273</v>
      </c>
      <c r="C31" s="19" t="s">
        <v>517</v>
      </c>
      <c r="D31" s="15">
        <v>61</v>
      </c>
      <c r="E31" s="15">
        <v>24</v>
      </c>
    </row>
    <row r="32" spans="1:5">
      <c r="A32" s="17" t="s">
        <v>30</v>
      </c>
      <c r="B32" s="15">
        <v>273</v>
      </c>
      <c r="C32" s="19">
        <v>-1</v>
      </c>
      <c r="D32" s="15">
        <v>60</v>
      </c>
      <c r="E32" s="15">
        <v>25</v>
      </c>
    </row>
    <row r="33" spans="1:5">
      <c r="A33" s="17" t="s">
        <v>27</v>
      </c>
      <c r="B33" s="15">
        <v>273</v>
      </c>
      <c r="C33" s="19">
        <v>-1</v>
      </c>
      <c r="D33" s="15">
        <v>61</v>
      </c>
      <c r="E33" s="15">
        <v>24</v>
      </c>
    </row>
    <row r="34" spans="1:5">
      <c r="A34" s="17" t="s">
        <v>33</v>
      </c>
      <c r="B34" s="15">
        <v>272</v>
      </c>
      <c r="C34" s="19">
        <v>-1</v>
      </c>
      <c r="D34" s="15">
        <v>61</v>
      </c>
      <c r="E34" s="15">
        <v>24</v>
      </c>
    </row>
    <row r="35" spans="1:5">
      <c r="A35" s="17" t="s">
        <v>50</v>
      </c>
      <c r="B35" s="15">
        <v>272</v>
      </c>
      <c r="C35" s="19">
        <v>-1</v>
      </c>
      <c r="D35" s="15">
        <v>60</v>
      </c>
      <c r="E35" s="15">
        <v>25</v>
      </c>
    </row>
    <row r="36" spans="1:5">
      <c r="A36" s="17" t="s">
        <v>24</v>
      </c>
      <c r="B36" s="15">
        <v>272</v>
      </c>
      <c r="C36" s="19">
        <v>-1</v>
      </c>
      <c r="D36" s="15">
        <v>61</v>
      </c>
      <c r="E36" s="15">
        <v>23</v>
      </c>
    </row>
    <row r="37" spans="1:5">
      <c r="A37" s="17" t="s">
        <v>18</v>
      </c>
      <c r="B37" s="15">
        <v>271</v>
      </c>
      <c r="C37" s="19">
        <v>-2</v>
      </c>
      <c r="D37" s="15">
        <v>59</v>
      </c>
      <c r="E37" s="15">
        <v>24</v>
      </c>
    </row>
    <row r="38" spans="1:5">
      <c r="A38" s="17" t="s">
        <v>17</v>
      </c>
      <c r="B38" s="15">
        <v>271</v>
      </c>
      <c r="C38" s="19">
        <v>-2</v>
      </c>
      <c r="D38" s="15">
        <v>58</v>
      </c>
      <c r="E38" s="15">
        <v>23</v>
      </c>
    </row>
    <row r="39" spans="1:5">
      <c r="A39" s="17" t="s">
        <v>8</v>
      </c>
      <c r="B39" s="15">
        <v>271</v>
      </c>
      <c r="C39" s="19">
        <v>-2</v>
      </c>
      <c r="D39" s="15">
        <v>58</v>
      </c>
      <c r="E39" s="15">
        <v>24</v>
      </c>
    </row>
    <row r="40" spans="1:5">
      <c r="A40" s="17" t="s">
        <v>47</v>
      </c>
      <c r="B40" s="15">
        <v>270</v>
      </c>
      <c r="C40" s="6">
        <v>-3</v>
      </c>
      <c r="D40" s="15">
        <v>58</v>
      </c>
      <c r="E40" s="15">
        <v>24</v>
      </c>
    </row>
    <row r="41" spans="1:5">
      <c r="A41" s="17" t="s">
        <v>45</v>
      </c>
      <c r="B41" s="15">
        <v>270</v>
      </c>
      <c r="C41" s="19">
        <v>-3</v>
      </c>
      <c r="D41" s="15">
        <v>57</v>
      </c>
      <c r="E41" s="15">
        <v>22</v>
      </c>
    </row>
    <row r="42" spans="1:5">
      <c r="A42" s="17" t="s">
        <v>19</v>
      </c>
      <c r="B42" s="15">
        <v>270</v>
      </c>
      <c r="C42" s="6">
        <v>-3</v>
      </c>
      <c r="D42" s="15">
        <v>58</v>
      </c>
      <c r="E42" s="15">
        <v>22</v>
      </c>
    </row>
    <row r="43" spans="1:5">
      <c r="A43" s="17" t="s">
        <v>7</v>
      </c>
      <c r="B43" s="15">
        <v>270</v>
      </c>
      <c r="C43" s="6">
        <v>-3</v>
      </c>
      <c r="D43" s="15">
        <v>59</v>
      </c>
      <c r="E43" s="15">
        <v>23</v>
      </c>
    </row>
    <row r="44" spans="1:5">
      <c r="A44" s="17" t="s">
        <v>12</v>
      </c>
      <c r="B44" s="15">
        <v>270</v>
      </c>
      <c r="C44" s="6">
        <v>-3</v>
      </c>
      <c r="D44" s="15">
        <v>56</v>
      </c>
      <c r="E44" s="15">
        <v>23</v>
      </c>
    </row>
    <row r="45" spans="1:5">
      <c r="A45" s="17" t="s">
        <v>25</v>
      </c>
      <c r="B45" s="15">
        <v>269</v>
      </c>
      <c r="C45" s="6">
        <v>-4</v>
      </c>
      <c r="D45" s="15">
        <v>57</v>
      </c>
      <c r="E45" s="15">
        <v>21</v>
      </c>
    </row>
    <row r="46" spans="1:5">
      <c r="A46" s="17" t="s">
        <v>36</v>
      </c>
      <c r="B46" s="15">
        <v>269</v>
      </c>
      <c r="C46" s="6">
        <v>-4</v>
      </c>
      <c r="D46" s="15">
        <v>56</v>
      </c>
      <c r="E46" s="15">
        <v>21</v>
      </c>
    </row>
    <row r="47" spans="1:5">
      <c r="A47" s="17" t="s">
        <v>48</v>
      </c>
      <c r="B47" s="15">
        <v>269</v>
      </c>
      <c r="C47" s="6">
        <v>-4</v>
      </c>
      <c r="D47" s="15">
        <v>56</v>
      </c>
      <c r="E47" s="15">
        <v>22</v>
      </c>
    </row>
    <row r="48" spans="1:5">
      <c r="A48" s="17" t="s">
        <v>28</v>
      </c>
      <c r="B48" s="15">
        <v>269</v>
      </c>
      <c r="C48" s="6">
        <v>-4</v>
      </c>
      <c r="D48" s="15">
        <v>54</v>
      </c>
      <c r="E48" s="15">
        <v>25</v>
      </c>
    </row>
    <row r="49" spans="1:8">
      <c r="A49" s="17" t="s">
        <v>10</v>
      </c>
      <c r="B49" s="15">
        <v>267</v>
      </c>
      <c r="C49" s="6">
        <v>-6</v>
      </c>
      <c r="D49" s="15">
        <v>55</v>
      </c>
      <c r="E49" s="15">
        <v>19</v>
      </c>
    </row>
    <row r="50" spans="1:8">
      <c r="A50" s="17" t="s">
        <v>26</v>
      </c>
      <c r="B50" s="15">
        <v>266</v>
      </c>
      <c r="C50" s="6">
        <v>-8</v>
      </c>
      <c r="D50" s="15">
        <v>53</v>
      </c>
      <c r="E50" s="15">
        <v>19</v>
      </c>
    </row>
    <row r="51" spans="1:8">
      <c r="A51" s="17" t="s">
        <v>32</v>
      </c>
      <c r="B51" s="15">
        <v>266</v>
      </c>
      <c r="C51" s="6">
        <v>-8</v>
      </c>
      <c r="D51" s="15">
        <v>54</v>
      </c>
      <c r="E51" s="15">
        <v>18</v>
      </c>
    </row>
    <row r="52" spans="1:8">
      <c r="A52" s="17" t="s">
        <v>5</v>
      </c>
      <c r="B52" s="15">
        <v>264</v>
      </c>
      <c r="C52" s="6">
        <v>-9</v>
      </c>
      <c r="D52" s="15">
        <v>53</v>
      </c>
      <c r="E52" s="15">
        <v>19</v>
      </c>
      <c r="F52" s="75"/>
      <c r="G52" s="75"/>
      <c r="H52" s="75"/>
    </row>
    <row r="53" spans="1:8">
      <c r="A53" s="17" t="s">
        <v>15</v>
      </c>
      <c r="B53" s="15">
        <v>264</v>
      </c>
      <c r="C53" s="6">
        <v>-9</v>
      </c>
      <c r="D53" s="15">
        <v>51</v>
      </c>
      <c r="E53" s="15">
        <v>18</v>
      </c>
      <c r="F53" s="75"/>
      <c r="G53" s="75"/>
      <c r="H53" s="75"/>
    </row>
    <row r="54" spans="1:8">
      <c r="A54" s="17" t="s">
        <v>44</v>
      </c>
      <c r="B54" s="15">
        <v>264</v>
      </c>
      <c r="C54" s="6">
        <v>-9</v>
      </c>
      <c r="D54" s="15">
        <v>52</v>
      </c>
      <c r="E54" s="15">
        <v>16</v>
      </c>
      <c r="F54" s="75"/>
      <c r="G54" s="75"/>
      <c r="H54" s="75"/>
    </row>
    <row r="55" spans="1:8">
      <c r="A55" s="17" t="s">
        <v>56</v>
      </c>
      <c r="B55" s="15">
        <v>260</v>
      </c>
      <c r="C55" s="6">
        <v>-13</v>
      </c>
      <c r="D55" s="15">
        <v>48</v>
      </c>
      <c r="E55" s="15">
        <v>15</v>
      </c>
      <c r="F55" s="75"/>
      <c r="G55" s="75"/>
      <c r="H55" s="75"/>
    </row>
    <row r="56" spans="1:8">
      <c r="A56" s="17" t="s">
        <v>16</v>
      </c>
      <c r="B56" s="15">
        <v>260</v>
      </c>
      <c r="C56" s="6">
        <v>-14</v>
      </c>
      <c r="D56" s="15">
        <v>46</v>
      </c>
      <c r="E56" s="15">
        <v>16</v>
      </c>
      <c r="F56" s="75"/>
      <c r="G56" s="75"/>
      <c r="H56" s="75"/>
    </row>
    <row r="57" spans="1:8">
      <c r="A57" s="17" t="s">
        <v>39</v>
      </c>
      <c r="B57" s="15">
        <v>259</v>
      </c>
      <c r="C57" s="6">
        <v>-14</v>
      </c>
      <c r="D57" s="15">
        <v>45</v>
      </c>
      <c r="E57" s="15">
        <v>13</v>
      </c>
      <c r="F57" s="75"/>
      <c r="G57" s="75"/>
      <c r="H57" s="75"/>
    </row>
    <row r="58" spans="1:8">
      <c r="A58" s="17" t="s">
        <v>519</v>
      </c>
      <c r="B58" s="15">
        <v>216</v>
      </c>
      <c r="C58" s="6">
        <v>-57</v>
      </c>
      <c r="D58" s="15">
        <v>6</v>
      </c>
      <c r="E58" s="15" t="s">
        <v>517</v>
      </c>
      <c r="F58" s="75"/>
      <c r="G58" s="75"/>
      <c r="H58" s="75"/>
    </row>
    <row r="60" spans="1:8">
      <c r="A60" s="9" t="s">
        <v>520</v>
      </c>
      <c r="B60" s="10" t="s">
        <v>520</v>
      </c>
      <c r="C60" s="11" t="s">
        <v>520</v>
      </c>
      <c r="D60" s="75"/>
      <c r="E60" s="75"/>
      <c r="F60" s="75"/>
      <c r="G60" s="75"/>
      <c r="H60" s="75"/>
    </row>
    <row r="61" spans="1:8" ht="36">
      <c r="A61" s="12" t="s">
        <v>521</v>
      </c>
      <c r="B61" s="12" t="s">
        <v>522</v>
      </c>
      <c r="C61" s="12" t="s">
        <v>523</v>
      </c>
      <c r="D61" s="75"/>
      <c r="E61" s="75"/>
      <c r="F61" s="75"/>
      <c r="G61" s="75"/>
      <c r="H61" s="75"/>
    </row>
    <row r="63" spans="1:8">
      <c r="A63" s="116" t="s">
        <v>419</v>
      </c>
      <c r="B63" s="119"/>
      <c r="C63" s="119"/>
      <c r="D63" s="119"/>
      <c r="E63" s="119"/>
      <c r="F63" s="119"/>
      <c r="G63" s="119"/>
      <c r="H63" s="119"/>
    </row>
    <row r="64" spans="1:8">
      <c r="A64" s="116" t="s">
        <v>527</v>
      </c>
      <c r="B64" s="119"/>
      <c r="C64" s="119"/>
      <c r="D64" s="119"/>
      <c r="E64" s="119"/>
      <c r="F64" s="119"/>
      <c r="G64" s="119"/>
      <c r="H64" s="119"/>
    </row>
    <row r="65" spans="1:8">
      <c r="A65" s="116" t="s">
        <v>528</v>
      </c>
      <c r="B65" s="119"/>
      <c r="C65" s="119"/>
      <c r="D65" s="119"/>
      <c r="E65" s="119"/>
      <c r="F65" s="119"/>
      <c r="G65" s="119"/>
      <c r="H65" s="119"/>
    </row>
    <row r="66" spans="1:8">
      <c r="A66" s="116" t="s">
        <v>529</v>
      </c>
      <c r="B66" s="119"/>
      <c r="C66" s="119"/>
      <c r="D66" s="119"/>
      <c r="E66" s="119"/>
      <c r="F66" s="119"/>
      <c r="G66" s="119"/>
      <c r="H66" s="119"/>
    </row>
  </sheetData>
  <mergeCells count="8">
    <mergeCell ref="A63:H63"/>
    <mergeCell ref="A64:H64"/>
    <mergeCell ref="A65:H65"/>
    <mergeCell ref="A66:H66"/>
    <mergeCell ref="A1:U1"/>
    <mergeCell ref="A3:A4"/>
    <mergeCell ref="B3:C3"/>
    <mergeCell ref="D3:E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1E9A-A74E-4E0B-A8E8-5FDF3EB71303}">
  <dimension ref="A1:E52"/>
  <sheetViews>
    <sheetView workbookViewId="0">
      <selection activeCell="E4" sqref="E4"/>
    </sheetView>
  </sheetViews>
  <sheetFormatPr defaultRowHeight="15"/>
  <cols>
    <col min="1" max="1" width="20.140625" customWidth="1"/>
    <col min="2" max="2" width="33.42578125" customWidth="1"/>
    <col min="3" max="3" width="26.140625" customWidth="1"/>
  </cols>
  <sheetData>
    <row r="1" spans="1:5">
      <c r="A1" t="s">
        <v>530</v>
      </c>
      <c r="B1" t="s">
        <v>531</v>
      </c>
      <c r="C1" t="s">
        <v>532</v>
      </c>
    </row>
    <row r="2" spans="1:5">
      <c r="A2" t="s">
        <v>34</v>
      </c>
      <c r="B2">
        <v>94</v>
      </c>
      <c r="C2">
        <v>33.1</v>
      </c>
    </row>
    <row r="3" spans="1:5">
      <c r="A3" t="s">
        <v>58</v>
      </c>
      <c r="B3">
        <v>93.6</v>
      </c>
      <c r="C3">
        <v>28.2</v>
      </c>
    </row>
    <row r="4" spans="1:5">
      <c r="A4" t="s">
        <v>53</v>
      </c>
      <c r="B4">
        <v>93.5</v>
      </c>
      <c r="C4">
        <v>39.700000000000003</v>
      </c>
      <c r="E4" t="s">
        <v>533</v>
      </c>
    </row>
    <row r="5" spans="1:5">
      <c r="A5" t="s">
        <v>31</v>
      </c>
      <c r="B5">
        <v>93.4</v>
      </c>
      <c r="C5">
        <v>36.799999999999997</v>
      </c>
    </row>
    <row r="6" spans="1:5">
      <c r="A6" t="s">
        <v>37</v>
      </c>
      <c r="B6">
        <v>93.3</v>
      </c>
      <c r="C6">
        <v>37.6</v>
      </c>
    </row>
    <row r="7" spans="1:5">
      <c r="A7" t="s">
        <v>27</v>
      </c>
      <c r="B7">
        <v>93.2</v>
      </c>
      <c r="C7">
        <v>32.5</v>
      </c>
    </row>
    <row r="8" spans="1:5">
      <c r="A8" t="s">
        <v>7</v>
      </c>
      <c r="B8">
        <v>93.1</v>
      </c>
      <c r="C8">
        <v>30</v>
      </c>
    </row>
    <row r="9" spans="1:5">
      <c r="A9" t="s">
        <v>42</v>
      </c>
      <c r="B9">
        <v>93.1</v>
      </c>
      <c r="C9">
        <v>30.7</v>
      </c>
    </row>
    <row r="10" spans="1:5">
      <c r="A10" t="s">
        <v>52</v>
      </c>
      <c r="B10">
        <v>93</v>
      </c>
      <c r="C10">
        <v>34.700000000000003</v>
      </c>
    </row>
    <row r="11" spans="1:5">
      <c r="A11" t="s">
        <v>57</v>
      </c>
      <c r="B11">
        <v>92.6</v>
      </c>
      <c r="C11">
        <v>30.8</v>
      </c>
    </row>
    <row r="12" spans="1:5">
      <c r="A12" t="s">
        <v>19</v>
      </c>
      <c r="B12">
        <v>92.5</v>
      </c>
      <c r="C12">
        <v>33.6</v>
      </c>
    </row>
    <row r="13" spans="1:5">
      <c r="A13" t="s">
        <v>23</v>
      </c>
      <c r="B13">
        <v>92.5</v>
      </c>
      <c r="C13">
        <v>29.3</v>
      </c>
    </row>
    <row r="14" spans="1:5">
      <c r="A14" t="s">
        <v>49</v>
      </c>
      <c r="B14">
        <v>92.2</v>
      </c>
      <c r="C14">
        <v>29.3</v>
      </c>
    </row>
    <row r="15" spans="1:5">
      <c r="A15" t="s">
        <v>13</v>
      </c>
      <c r="B15">
        <v>92.1</v>
      </c>
      <c r="C15">
        <v>41.6</v>
      </c>
    </row>
    <row r="16" spans="1:5">
      <c r="A16" t="s">
        <v>16</v>
      </c>
      <c r="B16">
        <v>91.9</v>
      </c>
      <c r="C16">
        <v>59.8</v>
      </c>
    </row>
    <row r="17" spans="1:3">
      <c r="A17" t="s">
        <v>55</v>
      </c>
      <c r="B17">
        <v>91.7</v>
      </c>
      <c r="C17">
        <v>36.700000000000003</v>
      </c>
    </row>
    <row r="18" spans="1:3">
      <c r="A18" t="s">
        <v>35</v>
      </c>
      <c r="B18">
        <v>91.6</v>
      </c>
      <c r="C18">
        <v>32.5</v>
      </c>
    </row>
    <row r="19" spans="1:3">
      <c r="A19" t="s">
        <v>24</v>
      </c>
      <c r="B19">
        <v>91.4</v>
      </c>
      <c r="C19">
        <v>33.9</v>
      </c>
    </row>
    <row r="20" spans="1:3">
      <c r="A20" t="s">
        <v>20</v>
      </c>
      <c r="B20">
        <v>91.3</v>
      </c>
      <c r="C20">
        <v>28.7</v>
      </c>
    </row>
    <row r="21" spans="1:3">
      <c r="A21" t="s">
        <v>30</v>
      </c>
      <c r="B21">
        <v>91.3</v>
      </c>
      <c r="C21">
        <v>30</v>
      </c>
    </row>
    <row r="22" spans="1:3">
      <c r="A22" t="s">
        <v>29</v>
      </c>
      <c r="B22">
        <v>91.1</v>
      </c>
      <c r="C22">
        <v>44.5</v>
      </c>
    </row>
    <row r="23" spans="1:3">
      <c r="A23" t="s">
        <v>45</v>
      </c>
      <c r="B23">
        <v>91.1</v>
      </c>
      <c r="C23">
        <v>34.4</v>
      </c>
    </row>
    <row r="24" spans="1:3">
      <c r="A24" t="s">
        <v>46</v>
      </c>
      <c r="B24">
        <v>91</v>
      </c>
      <c r="C24">
        <v>32.299999999999997</v>
      </c>
    </row>
    <row r="25" spans="1:3">
      <c r="A25" t="s">
        <v>14</v>
      </c>
      <c r="B25">
        <v>90.9</v>
      </c>
      <c r="C25">
        <v>40</v>
      </c>
    </row>
    <row r="26" spans="1:3">
      <c r="A26" t="s">
        <v>43</v>
      </c>
      <c r="B26">
        <v>90.8</v>
      </c>
      <c r="C26">
        <v>28.9</v>
      </c>
    </row>
    <row r="27" spans="1:3">
      <c r="A27" t="s">
        <v>15</v>
      </c>
      <c r="B27">
        <v>90.6</v>
      </c>
      <c r="C27">
        <v>32.700000000000003</v>
      </c>
    </row>
    <row r="28" spans="1:3">
      <c r="A28" t="s">
        <v>28</v>
      </c>
      <c r="B28">
        <v>90.6</v>
      </c>
      <c r="C28">
        <v>40.9</v>
      </c>
    </row>
    <row r="29" spans="1:3">
      <c r="A29" t="s">
        <v>33</v>
      </c>
      <c r="B29">
        <v>90.6</v>
      </c>
      <c r="C29">
        <v>29.9</v>
      </c>
    </row>
    <row r="30" spans="1:3">
      <c r="A30" t="s">
        <v>38</v>
      </c>
      <c r="B30">
        <v>90.3</v>
      </c>
      <c r="C30">
        <v>40.700000000000003</v>
      </c>
    </row>
    <row r="31" spans="1:3">
      <c r="A31" t="s">
        <v>54</v>
      </c>
      <c r="B31">
        <v>90.3</v>
      </c>
      <c r="C31">
        <v>39.5</v>
      </c>
    </row>
    <row r="32" spans="1:3">
      <c r="A32" t="s">
        <v>21</v>
      </c>
      <c r="B32">
        <v>89.7</v>
      </c>
      <c r="C32">
        <v>35.5</v>
      </c>
    </row>
    <row r="33" spans="1:3">
      <c r="A33" t="s">
        <v>22</v>
      </c>
      <c r="B33">
        <v>89.3</v>
      </c>
      <c r="C33">
        <v>27.2</v>
      </c>
    </row>
    <row r="34" spans="1:3">
      <c r="A34" t="s">
        <v>47</v>
      </c>
      <c r="B34">
        <v>89.2</v>
      </c>
      <c r="C34">
        <v>35</v>
      </c>
    </row>
    <row r="35" spans="1:3">
      <c r="A35" t="s">
        <v>44</v>
      </c>
      <c r="B35">
        <v>88.6</v>
      </c>
      <c r="C35">
        <v>26.1</v>
      </c>
    </row>
    <row r="36" spans="1:3">
      <c r="A36" t="s">
        <v>17</v>
      </c>
      <c r="B36">
        <v>88.5</v>
      </c>
      <c r="C36">
        <v>30.5</v>
      </c>
    </row>
    <row r="37" spans="1:3">
      <c r="A37" t="s">
        <v>41</v>
      </c>
      <c r="B37">
        <v>88.5</v>
      </c>
      <c r="C37">
        <v>32</v>
      </c>
    </row>
    <row r="38" spans="1:3">
      <c r="A38" t="s">
        <v>48</v>
      </c>
      <c r="B38">
        <v>88.3</v>
      </c>
      <c r="C38">
        <v>29</v>
      </c>
    </row>
    <row r="39" spans="1:3">
      <c r="A39" t="s">
        <v>50</v>
      </c>
      <c r="B39">
        <v>88.2</v>
      </c>
      <c r="C39">
        <v>28.2</v>
      </c>
    </row>
    <row r="40" spans="1:3">
      <c r="A40" t="s">
        <v>8</v>
      </c>
      <c r="B40">
        <v>87.9</v>
      </c>
      <c r="C40">
        <v>30.3</v>
      </c>
    </row>
    <row r="41" spans="1:3">
      <c r="A41" t="s">
        <v>18</v>
      </c>
      <c r="B41">
        <v>87.9</v>
      </c>
      <c r="C41">
        <v>32.200000000000003</v>
      </c>
    </row>
    <row r="42" spans="1:3">
      <c r="A42" t="s">
        <v>56</v>
      </c>
      <c r="B42">
        <v>87.6</v>
      </c>
      <c r="C42">
        <v>21.3</v>
      </c>
    </row>
    <row r="43" spans="1:3">
      <c r="A43" t="s">
        <v>10</v>
      </c>
      <c r="B43">
        <v>87.2</v>
      </c>
      <c r="C43">
        <v>23.8</v>
      </c>
    </row>
    <row r="44" spans="1:3">
      <c r="A44" t="s">
        <v>25</v>
      </c>
      <c r="B44">
        <v>87.2</v>
      </c>
      <c r="C44">
        <v>25</v>
      </c>
    </row>
    <row r="45" spans="1:3">
      <c r="A45" t="s">
        <v>40</v>
      </c>
      <c r="B45">
        <v>87.2</v>
      </c>
      <c r="C45">
        <v>37.5</v>
      </c>
    </row>
    <row r="46" spans="1:3">
      <c r="A46" t="s">
        <v>5</v>
      </c>
      <c r="B46">
        <v>86.9</v>
      </c>
      <c r="C46">
        <v>26.2</v>
      </c>
    </row>
    <row r="47" spans="1:3">
      <c r="A47" t="s">
        <v>36</v>
      </c>
      <c r="B47">
        <v>86.9</v>
      </c>
      <c r="C47">
        <v>25.5</v>
      </c>
    </row>
    <row r="48" spans="1:3">
      <c r="A48" t="s">
        <v>39</v>
      </c>
      <c r="B48">
        <v>86.5</v>
      </c>
      <c r="C48">
        <v>28.1</v>
      </c>
    </row>
    <row r="49" spans="1:3">
      <c r="A49" t="s">
        <v>26</v>
      </c>
      <c r="B49">
        <v>85.9</v>
      </c>
      <c r="C49">
        <v>24.9</v>
      </c>
    </row>
    <row r="50" spans="1:3">
      <c r="A50" t="s">
        <v>32</v>
      </c>
      <c r="B50">
        <v>85.3</v>
      </c>
      <c r="C50">
        <v>22.8</v>
      </c>
    </row>
    <row r="51" spans="1:3">
      <c r="A51" t="s">
        <v>51</v>
      </c>
      <c r="B51">
        <v>84.4</v>
      </c>
      <c r="C51">
        <v>30.7</v>
      </c>
    </row>
    <row r="52" spans="1:3">
      <c r="A52" t="s">
        <v>12</v>
      </c>
      <c r="B52">
        <v>83.9</v>
      </c>
      <c r="C52">
        <v>34.700000000000003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Violet Borrero</dc:creator>
  <cp:keywords/>
  <dc:description/>
  <cp:lastModifiedBy>Violet Borrero</cp:lastModifiedBy>
  <cp:revision/>
  <dcterms:created xsi:type="dcterms:W3CDTF">2023-11-05T23:06:34Z</dcterms:created>
  <dcterms:modified xsi:type="dcterms:W3CDTF">2026-10-22T17:02:04Z</dcterms:modified>
  <cp:category/>
  <cp:contentStatus/>
</cp:coreProperties>
</file>